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4ef3b1b8d0934034" Type="http://schemas.microsoft.com/office/2006/relationships/ui/extensibility" Target="NUL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fileSharing readOnlyRecommended="1"/>
  <workbookPr codeName="ThisWorkbook"/>
  <mc:AlternateContent xmlns:mc="http://schemas.openxmlformats.org/markup-compatibility/2006">
    <mc:Choice Requires="x15">
      <x15ac:absPath xmlns:x15ac="http://schemas.microsoft.com/office/spreadsheetml/2010/11/ac" url="D:\Users\yguil\OneDrive\Documents\CAF2024\EOV\Riesgos\"/>
    </mc:Choice>
  </mc:AlternateContent>
  <xr:revisionPtr revIDLastSave="0" documentId="13_ncr:1_{B7754677-E5B4-4162-8F1D-C4C034C56591}" xr6:coauthVersionLast="47" xr6:coauthVersionMax="47" xr10:uidLastSave="{00000000-0000-0000-0000-000000000000}"/>
  <bookViews>
    <workbookView xWindow="-120" yWindow="-120" windowWidth="20730" windowHeight="11310" tabRatio="828" firstSheet="2" activeTab="3" xr2:uid="{00000000-000D-0000-FFFF-FFFF00000000}"/>
  </bookViews>
  <sheets>
    <sheet name="Colour Palettes" sheetId="3" state="hidden" r:id="rId1"/>
    <sheet name="Standards" sheetId="2" state="hidden" r:id="rId2"/>
    <sheet name="Evaluación de Riesgo Vinculador" sheetId="14" r:id="rId3"/>
    <sheet name="Pre-Assesment Privacidad" sheetId="19" r:id="rId4"/>
    <sheet name="HIDE - Calculations" sheetId="11" state="hidden" r:id="rId5"/>
    <sheet name=" Escala de Evaluación de Riesgo" sheetId="5" r:id="rId6"/>
    <sheet name="HIDE - Data Validation" sheetId="9" state="hidden" r:id="rId7"/>
    <sheet name="2x2 Grid Output" sheetId="7" state="veryHidden" r:id="rId8"/>
  </sheets>
  <definedNames>
    <definedName name="Impact_Scale">'HIDE - Data Validation'!$D$4:$D$9</definedName>
    <definedName name="Probability_Scale">'HIDE - Data Validation'!$B$4:$B$9</definedName>
    <definedName name="Risk_Response">'HIDE - Data Validation'!$F$4:$F$7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5" l="1"/>
  <c r="B9" i="5"/>
  <c r="U28" i="14" l="1"/>
  <c r="N28" i="14"/>
  <c r="U27" i="14"/>
  <c r="N27" i="14"/>
  <c r="U26" i="14"/>
  <c r="N26" i="14"/>
  <c r="U25" i="14"/>
  <c r="N25" i="14"/>
  <c r="U24" i="14"/>
  <c r="N24" i="14"/>
  <c r="U23" i="14"/>
  <c r="N23" i="14"/>
  <c r="U22" i="14"/>
  <c r="N22" i="14"/>
  <c r="U21" i="14"/>
  <c r="N21" i="14"/>
  <c r="U20" i="14"/>
  <c r="N20" i="14"/>
  <c r="U19" i="14"/>
  <c r="N19" i="14"/>
  <c r="U18" i="14"/>
  <c r="N18" i="14"/>
  <c r="U17" i="14"/>
  <c r="N17" i="14"/>
  <c r="U16" i="14"/>
  <c r="N16" i="14"/>
  <c r="U15" i="14"/>
  <c r="N15" i="14"/>
  <c r="U14" i="14"/>
  <c r="N14" i="14"/>
  <c r="U13" i="14"/>
  <c r="N13" i="14"/>
  <c r="U12" i="14"/>
  <c r="N12" i="14"/>
  <c r="U11" i="14"/>
  <c r="N11" i="14"/>
  <c r="U10" i="14"/>
  <c r="N10" i="14"/>
  <c r="U9" i="14"/>
  <c r="N9" i="14"/>
  <c r="U8" i="14"/>
  <c r="N8" i="14"/>
  <c r="U7" i="14"/>
  <c r="N7" i="14"/>
  <c r="V25" i="14" l="1"/>
  <c r="V17" i="14"/>
  <c r="V13" i="14"/>
  <c r="V7" i="14"/>
  <c r="V15" i="14"/>
  <c r="V23" i="14"/>
  <c r="V10" i="14"/>
  <c r="V14" i="14"/>
  <c r="V18" i="14"/>
  <c r="V22" i="14"/>
  <c r="V9" i="14"/>
  <c r="V8" i="14"/>
  <c r="V12" i="14"/>
  <c r="V16" i="14"/>
  <c r="V20" i="14"/>
  <c r="V28" i="14"/>
  <c r="V26" i="14"/>
  <c r="V21" i="14"/>
  <c r="V11" i="14"/>
  <c r="V19" i="14"/>
  <c r="V27" i="14"/>
  <c r="V24" i="14"/>
  <c r="D9" i="11"/>
  <c r="E9" i="11"/>
  <c r="D10" i="11"/>
  <c r="E10" i="11"/>
  <c r="D11" i="11"/>
  <c r="E11" i="11"/>
  <c r="D12" i="11"/>
  <c r="E12" i="11"/>
  <c r="D13" i="11"/>
  <c r="E13" i="11"/>
  <c r="D14" i="11"/>
  <c r="E14" i="11"/>
  <c r="D15" i="11"/>
  <c r="E15" i="11"/>
  <c r="D16" i="11"/>
  <c r="E16" i="11"/>
  <c r="D17" i="11"/>
  <c r="E17" i="11"/>
  <c r="D18" i="11"/>
  <c r="E18" i="11"/>
  <c r="D19" i="11"/>
  <c r="E19" i="11"/>
  <c r="D20" i="11"/>
  <c r="E20" i="11"/>
  <c r="D21" i="11"/>
  <c r="E21" i="11"/>
  <c r="D22" i="11"/>
  <c r="E22" i="11"/>
  <c r="D23" i="11"/>
  <c r="E23" i="11"/>
  <c r="D24" i="11"/>
  <c r="E24" i="11"/>
  <c r="D25" i="11"/>
  <c r="E25" i="11"/>
  <c r="D26" i="11"/>
  <c r="E26" i="11"/>
  <c r="D27" i="11"/>
  <c r="E27" i="11"/>
  <c r="D28" i="11"/>
  <c r="E28" i="11"/>
  <c r="D29" i="11"/>
  <c r="E29" i="11"/>
  <c r="D30" i="11"/>
  <c r="E30" i="11"/>
  <c r="D31" i="11"/>
  <c r="E31" i="11"/>
  <c r="D32" i="11"/>
  <c r="E32" i="11"/>
  <c r="D33" i="11"/>
  <c r="E33" i="11"/>
  <c r="D34" i="11"/>
  <c r="E34" i="11"/>
  <c r="D35" i="11"/>
  <c r="E35" i="11"/>
  <c r="D36" i="11"/>
  <c r="E36" i="11"/>
  <c r="D37" i="11"/>
  <c r="E37" i="11"/>
  <c r="D38" i="11"/>
  <c r="E38" i="11"/>
  <c r="D39" i="11"/>
  <c r="E39" i="11"/>
  <c r="D40" i="11"/>
  <c r="E40" i="11"/>
  <c r="D41" i="11"/>
  <c r="E41" i="11"/>
  <c r="D42" i="11"/>
  <c r="E42" i="11"/>
  <c r="D43" i="11"/>
  <c r="E43" i="11"/>
  <c r="D44" i="11"/>
  <c r="E44" i="11"/>
  <c r="D45" i="11"/>
  <c r="E45" i="11"/>
  <c r="E8" i="11"/>
  <c r="D8" i="11"/>
  <c r="C45" i="11"/>
  <c r="C44" i="11"/>
  <c r="C43" i="11"/>
  <c r="C42" i="11"/>
  <c r="C41" i="11"/>
  <c r="C40" i="11"/>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C13" i="11"/>
  <c r="C12" i="11"/>
  <c r="C11" i="11"/>
  <c r="C10" i="11"/>
  <c r="C9" i="11"/>
  <c r="C8"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C48" i="11" l="1"/>
  <c r="B48" i="11"/>
  <c r="D48" i="11"/>
  <c r="E48" i="11"/>
  <c r="B16" i="5" l="1"/>
  <c r="B17" i="5"/>
  <c r="B18" i="5"/>
  <c r="B19" i="5"/>
  <c r="B20" i="5"/>
  <c r="B15" i="5"/>
  <c r="B8" i="5"/>
  <c r="B10" i="5"/>
  <c r="B11" i="5"/>
  <c r="B12" i="5"/>
  <c r="C5" i="7"/>
  <c r="D5" i="7"/>
  <c r="F56" i="7"/>
  <c r="K56" i="7" s="1"/>
  <c r="F37" i="7"/>
  <c r="I37" i="7" s="1"/>
  <c r="F34" i="7"/>
  <c r="Q34" i="7" s="1"/>
  <c r="F32" i="7"/>
  <c r="O32" i="7" s="1"/>
  <c r="F30" i="7"/>
  <c r="O30" i="7" s="1"/>
  <c r="F21" i="7"/>
  <c r="L21" i="7" s="1"/>
  <c r="F18" i="7"/>
  <c r="I18" i="7" s="1"/>
  <c r="H32" i="7"/>
  <c r="Q32" i="7"/>
  <c r="K32" i="7"/>
  <c r="H34" i="7"/>
  <c r="O37" i="7"/>
  <c r="R37" i="7"/>
  <c r="Q56" i="7"/>
  <c r="H56" i="7"/>
  <c r="L56" i="7"/>
  <c r="O21" i="7"/>
  <c r="F65" i="7"/>
  <c r="H65" i="7" s="1"/>
  <c r="F64" i="7"/>
  <c r="R64" i="7" s="1"/>
  <c r="F63" i="7"/>
  <c r="H63" i="7" s="1"/>
  <c r="F51" i="7"/>
  <c r="T51" i="7" s="1"/>
  <c r="F61" i="7"/>
  <c r="I61" i="7" s="1"/>
  <c r="F54" i="7"/>
  <c r="N54" i="7" s="1"/>
  <c r="F48" i="7"/>
  <c r="K48" i="7" s="1"/>
  <c r="F36" i="7"/>
  <c r="N36" i="7" s="1"/>
  <c r="F57" i="7"/>
  <c r="L57" i="7" s="1"/>
  <c r="F49" i="7"/>
  <c r="T49" i="7" s="1"/>
  <c r="F35" i="7"/>
  <c r="N35" i="7" s="1"/>
  <c r="F23" i="7"/>
  <c r="Q23" i="7" s="1"/>
  <c r="F53" i="7"/>
  <c r="H53" i="7" s="1"/>
  <c r="F46" i="7"/>
  <c r="O46" i="7" s="1"/>
  <c r="R18" i="7"/>
  <c r="F24" i="7"/>
  <c r="H24" i="7" s="1"/>
  <c r="F26" i="7"/>
  <c r="T26" i="7" s="1"/>
  <c r="R32" i="7"/>
  <c r="K34" i="7"/>
  <c r="L37" i="7"/>
  <c r="F45" i="7"/>
  <c r="K45" i="7" s="1"/>
  <c r="F62" i="7"/>
  <c r="N62" i="7" s="1"/>
  <c r="F20" i="7"/>
  <c r="L20" i="7" s="1"/>
  <c r="K21" i="7"/>
  <c r="F22" i="7"/>
  <c r="L22" i="7" s="1"/>
  <c r="F29" i="7"/>
  <c r="Q29" i="7" s="1"/>
  <c r="R30" i="7"/>
  <c r="T32" i="7"/>
  <c r="F39" i="7"/>
  <c r="O39" i="7" s="1"/>
  <c r="T56" i="7"/>
  <c r="N49" i="7"/>
  <c r="H49" i="7"/>
  <c r="N45" i="7"/>
  <c r="R26" i="7"/>
  <c r="K54" i="7"/>
  <c r="K64" i="7"/>
  <c r="K53" i="7"/>
  <c r="T53" i="7"/>
  <c r="I57" i="7"/>
  <c r="T57" i="7"/>
  <c r="O61" i="7"/>
  <c r="K61" i="7"/>
  <c r="R61" i="7"/>
  <c r="Q61" i="7"/>
  <c r="R65" i="7"/>
  <c r="K65" i="7"/>
  <c r="I65" i="7"/>
  <c r="N65" i="7"/>
  <c r="T65" i="7"/>
  <c r="H39" i="7"/>
  <c r="I39" i="7"/>
  <c r="R39" i="7"/>
  <c r="K39" i="7"/>
  <c r="N20" i="7"/>
  <c r="T20" i="7"/>
  <c r="T35" i="7"/>
  <c r="H35" i="7"/>
  <c r="L35" i="7"/>
  <c r="Q35" i="7"/>
  <c r="R48" i="7"/>
  <c r="I48" i="7"/>
  <c r="H48" i="7"/>
  <c r="N48" i="7"/>
  <c r="L63" i="7"/>
  <c r="O63" i="7"/>
  <c r="Q63" i="7"/>
  <c r="I63" i="7"/>
  <c r="H22" i="7"/>
  <c r="O22" i="7"/>
  <c r="O24" i="7"/>
  <c r="N24" i="7"/>
  <c r="I24" i="7"/>
  <c r="L23" i="7"/>
  <c r="K23" i="7"/>
  <c r="I23" i="7"/>
  <c r="L36" i="7"/>
  <c r="K36" i="7"/>
  <c r="I36" i="7"/>
  <c r="H36" i="7"/>
  <c r="L51" i="7"/>
  <c r="Q51" i="7"/>
  <c r="O51" i="7"/>
  <c r="L29" i="7" l="1"/>
  <c r="T29" i="7"/>
  <c r="H30" i="7"/>
  <c r="H51" i="7"/>
  <c r="N23" i="7"/>
  <c r="I22" i="7"/>
  <c r="T24" i="7"/>
  <c r="R35" i="7"/>
  <c r="T64" i="7"/>
  <c r="K24" i="7"/>
  <c r="R22" i="7"/>
  <c r="T48" i="7"/>
  <c r="F67" i="7"/>
  <c r="K67" i="7" s="1"/>
  <c r="H67" i="7"/>
  <c r="T67" i="7"/>
  <c r="R51" i="7"/>
  <c r="R36" i="7"/>
  <c r="R23" i="7"/>
  <c r="Q24" i="7"/>
  <c r="N22" i="7"/>
  <c r="R63" i="7"/>
  <c r="T36" i="7"/>
  <c r="O48" i="7"/>
  <c r="I35" i="7"/>
  <c r="K20" i="7"/>
  <c r="N29" i="7"/>
  <c r="Q39" i="7"/>
  <c r="O65" i="7"/>
  <c r="H61" i="7"/>
  <c r="H57" i="7"/>
  <c r="O57" i="7"/>
  <c r="R53" i="7"/>
  <c r="L54" i="7"/>
  <c r="Q26" i="7"/>
  <c r="L46" i="7"/>
  <c r="F41" i="7"/>
  <c r="L18" i="7"/>
  <c r="F33" i="7"/>
  <c r="F19" i="7"/>
  <c r="F58" i="7"/>
  <c r="F66" i="7"/>
  <c r="I56" i="7"/>
  <c r="N56" i="7"/>
  <c r="H37" i="7"/>
  <c r="O18" i="7"/>
  <c r="T21" i="7"/>
  <c r="T37" i="7"/>
  <c r="H20" i="7"/>
  <c r="Q20" i="7"/>
  <c r="K57" i="7"/>
  <c r="H46" i="7"/>
  <c r="H18" i="7"/>
  <c r="K51" i="7"/>
  <c r="Q36" i="7"/>
  <c r="R24" i="7"/>
  <c r="Q22" i="7"/>
  <c r="K63" i="7"/>
  <c r="T23" i="7"/>
  <c r="Q48" i="7"/>
  <c r="K35" i="7"/>
  <c r="O20" i="7"/>
  <c r="K29" i="7"/>
  <c r="O29" i="7"/>
  <c r="N39" i="7"/>
  <c r="Q65" i="7"/>
  <c r="T61" i="7"/>
  <c r="R57" i="7"/>
  <c r="L53" i="7"/>
  <c r="O53" i="7"/>
  <c r="T54" i="7"/>
  <c r="R45" i="7"/>
  <c r="Q62" i="7"/>
  <c r="F38" i="7"/>
  <c r="R56" i="7"/>
  <c r="I32" i="7"/>
  <c r="Q21" i="7"/>
  <c r="F27" i="7"/>
  <c r="L27" i="7" s="1"/>
  <c r="F40" i="7"/>
  <c r="T40" i="7" s="1"/>
  <c r="F55" i="7"/>
  <c r="N21" i="7"/>
  <c r="O56" i="7"/>
  <c r="K37" i="7"/>
  <c r="N18" i="7"/>
  <c r="F25" i="7"/>
  <c r="F43" i="7"/>
  <c r="I29" i="7"/>
  <c r="I53" i="7"/>
  <c r="H23" i="7"/>
  <c r="N51" i="7"/>
  <c r="O36" i="7"/>
  <c r="O23" i="7"/>
  <c r="L24" i="7"/>
  <c r="K22" i="7"/>
  <c r="N63" i="7"/>
  <c r="T63" i="7"/>
  <c r="T22" i="7"/>
  <c r="L48" i="7"/>
  <c r="O35" i="7"/>
  <c r="I20" i="7"/>
  <c r="R29" i="7"/>
  <c r="L39" i="7"/>
  <c r="T39" i="7"/>
  <c r="L65" i="7"/>
  <c r="L61" i="7"/>
  <c r="N57" i="7"/>
  <c r="N53" i="7"/>
  <c r="Q45" i="7"/>
  <c r="K62" i="7"/>
  <c r="N37" i="7"/>
  <c r="F50" i="7"/>
  <c r="Q30" i="7"/>
  <c r="H21" i="7"/>
  <c r="F31" i="7"/>
  <c r="F44" i="7"/>
  <c r="F59" i="7"/>
  <c r="I21" i="7"/>
  <c r="Q37" i="7"/>
  <c r="T18" i="7"/>
  <c r="F28" i="7"/>
  <c r="F47" i="7"/>
  <c r="L47" i="7" s="1"/>
  <c r="Q53" i="7"/>
  <c r="T62" i="7"/>
  <c r="R20" i="7"/>
  <c r="H29" i="7"/>
  <c r="N61" i="7"/>
  <c r="Q57" i="7"/>
  <c r="I51" i="7"/>
  <c r="F60" i="7"/>
  <c r="L32" i="7"/>
  <c r="R21" i="7"/>
  <c r="K18" i="7"/>
  <c r="F42" i="7"/>
  <c r="F52" i="7"/>
  <c r="Q18" i="7"/>
  <c r="N32" i="7"/>
  <c r="H64" i="7"/>
  <c r="Q64" i="7"/>
  <c r="Q54" i="7"/>
  <c r="O54" i="7"/>
  <c r="R40" i="7"/>
  <c r="Q27" i="7"/>
  <c r="L26" i="7"/>
  <c r="H26" i="7"/>
  <c r="O45" i="7"/>
  <c r="L45" i="7"/>
  <c r="H55" i="7"/>
  <c r="N55" i="7"/>
  <c r="R55" i="7"/>
  <c r="I49" i="7"/>
  <c r="K49" i="7"/>
  <c r="R46" i="7"/>
  <c r="Q46" i="7"/>
  <c r="I62" i="7"/>
  <c r="R62" i="7"/>
  <c r="L34" i="7"/>
  <c r="K30" i="7"/>
  <c r="I30" i="7"/>
  <c r="N34" i="7"/>
  <c r="I34" i="7"/>
  <c r="N30" i="7"/>
  <c r="I64" i="7"/>
  <c r="L64" i="7"/>
  <c r="I54" i="7"/>
  <c r="H54" i="7"/>
  <c r="O26" i="7"/>
  <c r="N26" i="7"/>
  <c r="H45" i="7"/>
  <c r="T45" i="7"/>
  <c r="O55" i="7"/>
  <c r="K55" i="7"/>
  <c r="O49" i="7"/>
  <c r="L49" i="7"/>
  <c r="Q49" i="7"/>
  <c r="T46" i="7"/>
  <c r="I46" i="7"/>
  <c r="L62" i="7"/>
  <c r="H62" i="7"/>
  <c r="T34" i="7"/>
  <c r="L30" i="7"/>
  <c r="T30" i="7"/>
  <c r="N64" i="7"/>
  <c r="O64" i="7"/>
  <c r="R54" i="7"/>
  <c r="O27" i="7"/>
  <c r="K26" i="7"/>
  <c r="I26" i="7"/>
  <c r="I45" i="7"/>
  <c r="Q55" i="7"/>
  <c r="R49" i="7"/>
  <c r="K46" i="7"/>
  <c r="N46" i="7"/>
  <c r="O62" i="7"/>
  <c r="R34" i="7"/>
  <c r="I47" i="7"/>
  <c r="O34" i="7"/>
  <c r="L67" i="7" l="1"/>
  <c r="Q67" i="7"/>
  <c r="R67" i="7"/>
  <c r="R27" i="7"/>
  <c r="K27" i="7"/>
  <c r="O67" i="7"/>
  <c r="O47" i="7"/>
  <c r="Q47" i="7"/>
  <c r="H27" i="7"/>
  <c r="I67" i="7"/>
  <c r="N67" i="7"/>
  <c r="O60" i="7"/>
  <c r="Q60" i="7"/>
  <c r="N60" i="7"/>
  <c r="K60" i="7"/>
  <c r="R60" i="7"/>
  <c r="I60" i="7"/>
  <c r="L60" i="7"/>
  <c r="H60" i="7"/>
  <c r="T60" i="7"/>
  <c r="H47" i="7"/>
  <c r="N47" i="7"/>
  <c r="K47" i="7"/>
  <c r="T58" i="7"/>
  <c r="K58" i="7"/>
  <c r="N58" i="7"/>
  <c r="O58" i="7"/>
  <c r="H58" i="7"/>
  <c r="I58" i="7"/>
  <c r="Q58" i="7"/>
  <c r="R58" i="7"/>
  <c r="L58" i="7"/>
  <c r="Q28" i="7"/>
  <c r="K28" i="7"/>
  <c r="H28" i="7"/>
  <c r="O28" i="7"/>
  <c r="N28" i="7"/>
  <c r="I28" i="7"/>
  <c r="L28" i="7"/>
  <c r="T28" i="7"/>
  <c r="R28" i="7"/>
  <c r="T55" i="7"/>
  <c r="L55" i="7"/>
  <c r="I55" i="7"/>
  <c r="Q19" i="7"/>
  <c r="R19" i="7"/>
  <c r="I19" i="7"/>
  <c r="O19" i="7"/>
  <c r="H19" i="7"/>
  <c r="N19" i="7"/>
  <c r="K19" i="7"/>
  <c r="T19" i="7"/>
  <c r="L19" i="7"/>
  <c r="K40" i="7"/>
  <c r="R52" i="7"/>
  <c r="T52" i="7"/>
  <c r="U52" i="7" s="1"/>
  <c r="H52" i="7"/>
  <c r="O52" i="7"/>
  <c r="L52" i="7"/>
  <c r="I52" i="7"/>
  <c r="K52" i="7"/>
  <c r="Q52" i="7"/>
  <c r="N52" i="7"/>
  <c r="N43" i="7"/>
  <c r="H43" i="7"/>
  <c r="L43" i="7"/>
  <c r="R43" i="7"/>
  <c r="K43" i="7"/>
  <c r="Q43" i="7"/>
  <c r="I43" i="7"/>
  <c r="O43" i="7"/>
  <c r="T43" i="7"/>
  <c r="T27" i="7"/>
  <c r="U27" i="7" s="1"/>
  <c r="N27" i="7"/>
  <c r="I27" i="7"/>
  <c r="L42" i="7"/>
  <c r="I42" i="7"/>
  <c r="R42" i="7"/>
  <c r="Q42" i="7"/>
  <c r="H42" i="7"/>
  <c r="K42" i="7"/>
  <c r="O42" i="7"/>
  <c r="N42" i="7"/>
  <c r="T42" i="7"/>
  <c r="O25" i="7"/>
  <c r="I25" i="7"/>
  <c r="L25" i="7"/>
  <c r="N25" i="7"/>
  <c r="T25" i="7"/>
  <c r="U25" i="7" s="1"/>
  <c r="H25" i="7"/>
  <c r="Q25" i="7"/>
  <c r="K25" i="7"/>
  <c r="R25" i="7"/>
  <c r="T41" i="7"/>
  <c r="L41" i="7"/>
  <c r="N41" i="7"/>
  <c r="Q41" i="7"/>
  <c r="K41" i="7"/>
  <c r="R41" i="7"/>
  <c r="I41" i="7"/>
  <c r="H41" i="7"/>
  <c r="O41" i="7"/>
  <c r="L50" i="7"/>
  <c r="O50" i="7"/>
  <c r="K50" i="7"/>
  <c r="R50" i="7"/>
  <c r="I50" i="7"/>
  <c r="N50" i="7"/>
  <c r="T50" i="7"/>
  <c r="Q50" i="7"/>
  <c r="H50" i="7"/>
  <c r="R33" i="7"/>
  <c r="K33" i="7"/>
  <c r="T33" i="7"/>
  <c r="O33" i="7"/>
  <c r="L33" i="7"/>
  <c r="I33" i="7"/>
  <c r="Q33" i="7"/>
  <c r="N33" i="7"/>
  <c r="H33" i="7"/>
  <c r="Q40" i="7"/>
  <c r="H40" i="7"/>
  <c r="R59" i="7"/>
  <c r="K59" i="7"/>
  <c r="L59" i="7"/>
  <c r="N59" i="7"/>
  <c r="T59" i="7"/>
  <c r="I59" i="7"/>
  <c r="H59" i="7"/>
  <c r="Q59" i="7"/>
  <c r="O59" i="7"/>
  <c r="N40" i="7"/>
  <c r="L40" i="7"/>
  <c r="I40" i="7"/>
  <c r="O40" i="7"/>
  <c r="T47" i="7"/>
  <c r="O44" i="7"/>
  <c r="L44" i="7"/>
  <c r="H44" i="7"/>
  <c r="N44" i="7"/>
  <c r="K44" i="7"/>
  <c r="I44" i="7"/>
  <c r="R44" i="7"/>
  <c r="Q44" i="7"/>
  <c r="T44" i="7"/>
  <c r="R47" i="7"/>
  <c r="N31" i="7"/>
  <c r="Q31" i="7"/>
  <c r="I31" i="7"/>
  <c r="T31" i="7"/>
  <c r="R31" i="7"/>
  <c r="K31" i="7"/>
  <c r="O31" i="7"/>
  <c r="L31" i="7"/>
  <c r="H31" i="7"/>
  <c r="Q38" i="7"/>
  <c r="N38" i="7"/>
  <c r="R38" i="7"/>
  <c r="H38" i="7"/>
  <c r="K38" i="7"/>
  <c r="T38" i="7"/>
  <c r="I38" i="7"/>
  <c r="O38" i="7"/>
  <c r="L38" i="7"/>
  <c r="I66" i="7"/>
  <c r="N66" i="7"/>
  <c r="K66" i="7"/>
  <c r="H66" i="7"/>
  <c r="T66" i="7"/>
  <c r="U66" i="7" s="1"/>
  <c r="R66" i="7"/>
  <c r="L66" i="7"/>
  <c r="Q66" i="7"/>
  <c r="O66" i="7"/>
  <c r="U18" i="7"/>
  <c r="U61" i="7"/>
  <c r="U38" i="7" l="1"/>
  <c r="U47" i="7"/>
  <c r="U48" i="7"/>
  <c r="U55" i="7"/>
  <c r="U35" i="7"/>
  <c r="U37" i="7"/>
  <c r="U34" i="7"/>
  <c r="U29" i="7"/>
  <c r="U50" i="7"/>
  <c r="U67" i="7"/>
  <c r="U64" i="7"/>
  <c r="U31" i="7"/>
  <c r="U59" i="7"/>
  <c r="U39" i="7"/>
  <c r="U57" i="7"/>
  <c r="U56" i="7"/>
  <c r="U51" i="7"/>
  <c r="U20" i="7"/>
  <c r="U21" i="7"/>
  <c r="U53" i="7"/>
  <c r="U32" i="7"/>
  <c r="U22" i="7"/>
  <c r="U26" i="7"/>
  <c r="U43" i="7"/>
  <c r="U36" i="7"/>
  <c r="U63" i="7"/>
  <c r="U40" i="7"/>
  <c r="U23" i="7"/>
  <c r="U54" i="7"/>
  <c r="U58" i="7"/>
  <c r="U65" i="7"/>
  <c r="U30" i="7"/>
  <c r="U24" i="7"/>
  <c r="U42" i="7"/>
  <c r="U33" i="7"/>
  <c r="U60" i="7"/>
  <c r="U49" i="7"/>
  <c r="U19" i="7"/>
  <c r="U62" i="7"/>
  <c r="U28" i="7"/>
  <c r="U46" i="7"/>
  <c r="U45" i="7"/>
  <c r="U41" i="7"/>
  <c r="U44" i="7"/>
  <c r="AJ63" i="7"/>
  <c r="AL63" i="7" s="1"/>
  <c r="AJ64" i="7"/>
  <c r="AL64" i="7" s="1"/>
  <c r="AJ50" i="7"/>
  <c r="AL50" i="7" s="1"/>
  <c r="AJ20" i="7" l="1"/>
  <c r="AL20" i="7" s="1"/>
  <c r="AJ56" i="7"/>
  <c r="AL56" i="7" s="1"/>
  <c r="AJ61" i="7"/>
  <c r="AL61" i="7" s="1"/>
  <c r="AJ44" i="7"/>
  <c r="AL44" i="7" s="1"/>
  <c r="AJ38" i="7"/>
  <c r="AL38" i="7" s="1"/>
  <c r="AJ60" i="7"/>
  <c r="AL60" i="7" s="1"/>
  <c r="AJ33" i="7"/>
  <c r="AL33" i="7" s="1"/>
  <c r="AJ52" i="7"/>
  <c r="AL52" i="7" s="1"/>
  <c r="AJ42" i="7"/>
  <c r="AL42" i="7" s="1"/>
  <c r="AJ58" i="7"/>
  <c r="AL58" i="7" s="1"/>
  <c r="AJ67" i="7"/>
  <c r="AL67" i="7" s="1"/>
  <c r="AJ47" i="7"/>
  <c r="AL47" i="7" s="1"/>
  <c r="AJ59" i="7"/>
  <c r="AL59" i="7" s="1"/>
  <c r="AJ39" i="7"/>
  <c r="AL39" i="7" s="1"/>
  <c r="AJ29" i="7"/>
  <c r="AL29" i="7" s="1"/>
  <c r="AJ65" i="7"/>
  <c r="AL65" i="7" s="1"/>
  <c r="AJ26" i="7"/>
  <c r="AL26" i="7" s="1"/>
  <c r="AJ49" i="7"/>
  <c r="AL49" i="7" s="1"/>
  <c r="AJ36" i="7"/>
  <c r="AL36" i="7" s="1"/>
  <c r="AJ21" i="7"/>
  <c r="AL21" i="7" s="1"/>
  <c r="AJ40" i="7"/>
  <c r="AL40" i="7" s="1"/>
  <c r="AJ18" i="7"/>
  <c r="AL18" i="7" s="1"/>
  <c r="AJ25" i="7"/>
  <c r="AL25" i="7" s="1"/>
  <c r="AJ41" i="7"/>
  <c r="AL41" i="7" s="1"/>
  <c r="AJ55" i="7"/>
  <c r="AL55" i="7" s="1"/>
  <c r="AJ24" i="7"/>
  <c r="AL24" i="7" s="1"/>
  <c r="AJ53" i="7"/>
  <c r="AL53" i="7" s="1"/>
  <c r="AJ23" i="7"/>
  <c r="AL23" i="7" s="1"/>
  <c r="AJ54" i="7"/>
  <c r="AL54" i="7" s="1"/>
  <c r="AJ30" i="7"/>
  <c r="AL30" i="7" s="1"/>
  <c r="AJ32" i="7"/>
  <c r="AL32" i="7" s="1"/>
  <c r="AJ19" i="7"/>
  <c r="AL19" i="7" s="1"/>
  <c r="AJ66" i="7"/>
  <c r="AL66" i="7" s="1"/>
  <c r="AJ27" i="7"/>
  <c r="AL27" i="7" s="1"/>
  <c r="AJ31" i="7"/>
  <c r="AL31" i="7" s="1"/>
  <c r="AJ37" i="7"/>
  <c r="AL37" i="7" s="1"/>
  <c r="AJ43" i="7"/>
  <c r="AL43" i="7" s="1"/>
  <c r="AJ48" i="7"/>
  <c r="AL48" i="7" s="1"/>
  <c r="AJ51" i="7"/>
  <c r="AL51" i="7" s="1"/>
  <c r="AJ46" i="7"/>
  <c r="AL46" i="7" s="1"/>
  <c r="AJ45" i="7"/>
  <c r="AL45" i="7" s="1"/>
  <c r="AJ22" i="7"/>
  <c r="AL22" i="7" s="1"/>
  <c r="AJ28" i="7"/>
  <c r="AL28" i="7" s="1"/>
  <c r="AJ57" i="7"/>
  <c r="AL57" i="7" s="1"/>
  <c r="AJ35" i="7"/>
  <c r="AL35" i="7" s="1"/>
  <c r="AJ62" i="7"/>
  <c r="AL62" i="7" s="1"/>
  <c r="AJ34" i="7"/>
  <c r="AL34" i="7" s="1"/>
</calcChain>
</file>

<file path=xl/sharedStrings.xml><?xml version="1.0" encoding="utf-8"?>
<sst xmlns="http://schemas.openxmlformats.org/spreadsheetml/2006/main" count="539" uniqueCount="272">
  <si>
    <t>When to Use Palette Colours - Now with More Reds!</t>
  </si>
  <si>
    <t>Use these colours for conditional formatting and charts.</t>
  </si>
  <si>
    <t>Greens</t>
  </si>
  <si>
    <t>Blues</t>
  </si>
  <si>
    <t>Reds</t>
  </si>
  <si>
    <t>Yellows</t>
  </si>
  <si>
    <t>R</t>
  </si>
  <si>
    <t>G</t>
  </si>
  <si>
    <t>B</t>
  </si>
  <si>
    <t>When to Use Standard Colours</t>
  </si>
  <si>
    <t>The information on this worksheet is meant as a guide for creating tools using the correct colour scheme.</t>
  </si>
  <si>
    <t>White</t>
  </si>
  <si>
    <t>Permanently blank cells.</t>
  </si>
  <si>
    <t>Cells in which data values must be entered by the user.</t>
  </si>
  <si>
    <t>Info-Tech Navy</t>
  </si>
  <si>
    <t>RGB 41, 71, 95</t>
  </si>
  <si>
    <t>To mark primary column or row headings.</t>
  </si>
  <si>
    <t>Blue</t>
  </si>
  <si>
    <t>RGB 98, 147, 187</t>
  </si>
  <si>
    <t>To mark secondary column or row headings.</t>
  </si>
  <si>
    <t>As a contrast to an immediately proximate Info-Tech Navy row or column.</t>
  </si>
  <si>
    <t>Light Blue</t>
  </si>
  <si>
    <t>RGB 202, 218, 232</t>
  </si>
  <si>
    <t>To mark tertiary columns or rows. Typically used to distinguish drop-down menus from input-text boxes.</t>
  </si>
  <si>
    <t>As a contrast to an immediately proximate Blue row or column, Light Green row or column, or White row or column.</t>
  </si>
  <si>
    <t>Light Green</t>
  </si>
  <si>
    <t>RGB 206, 217, 144</t>
  </si>
  <si>
    <t>To mark rows, columns or cells that display totals or running totals [formula cells].</t>
  </si>
  <si>
    <t>As a contrast to an immediately proximate Light Blue row or column or White row or column.</t>
  </si>
  <si>
    <t>Grey</t>
  </si>
  <si>
    <t>RGB 214, 214, 214</t>
  </si>
  <si>
    <t>When all the above colors have been used and an additional highlighting color is required. Should be used sparingly/rarely.</t>
  </si>
  <si>
    <t>Risk Owner (Person)</t>
  </si>
  <si>
    <t>Risk Control Status: 
Existing/Acceptable
Existing/Requires Update
Non-Existent/Requires New Policy</t>
  </si>
  <si>
    <t>Risk Control Description (i.e. Reference exsting policy, procedures or documents) for existing risk controls, 
For Non-Existent Controls - include name of new required policy, procedure, or document to be created</t>
  </si>
  <si>
    <t>Column1</t>
  </si>
  <si>
    <t>Column2</t>
  </si>
  <si>
    <t>Column3</t>
  </si>
  <si>
    <t>Column4</t>
  </si>
  <si>
    <t>x</t>
  </si>
  <si>
    <t>Supervisión humana insuficiente de los resultados del modelo.</t>
  </si>
  <si>
    <t>X</t>
  </si>
  <si>
    <t>=</t>
  </si>
  <si>
    <t>El modelo reproduce o exacerba los sesgos existentes en los datos de entrenamiento.</t>
  </si>
  <si>
    <t>Solicitar mayor cantidad de datos que ayuden a precisar la información y que esta sea más exacta e íntegra, evitando interpretaciones sesgadas, además de asegurarse de acotar los criterios y las fuentes de donde se realiza la búsqueda de información.</t>
  </si>
  <si>
    <t>Los datos utilizados para entrenar el modelo no cumplen con el propósito previsto (p. ej., problemas de etiquetado de datos, metodología de muestreo incorrecta, errores u omisiones significativos en el conjunto de datos de entrenamiento).</t>
  </si>
  <si>
    <t>Asegurarse de que los documentos y las fuentes a evaluar, posean un contenido con el menor porcentaje de data errada, evitando que los resultados del análisis y evaluación sean equivocados y no permitan la toma de decisiones correctas.</t>
  </si>
  <si>
    <t>Los cambios legales o regulatorios exigen que el proveedor modifique significativamente o retire el algoritmo.</t>
  </si>
  <si>
    <t xml:space="preserve">Monitorear periódicamente las regulaciones legales existentes para realizar los ajustes correspondientes en el modelo IA. </t>
  </si>
  <si>
    <t>La responsabilidad del caso de uso de IA está mal definida o asignada incorrectamente.</t>
  </si>
  <si>
    <t>2 (Bajo)</t>
  </si>
  <si>
    <t>Realizar revisiones constantes del avance del desarrollo de la iniciativa, para validar que se estén cumpliendo los requerimientos previamente definidos, con la finalidad de si ocurre alguna desviación poderlo ajustar de manera oportuna.</t>
  </si>
  <si>
    <t>Los usuarios malinterpretan o hacen un uso indebido de los resultados de los modelos de IA de forma perjudicial.</t>
  </si>
  <si>
    <t>El usuario debe tener un nivel de experticia medio-alto, es decir, que este capacitado para la interpretación correcta de los resultados que arroje el modelo.</t>
  </si>
  <si>
    <t>La información sensible (p. ej., datos confidenciales o personales) utilizada para entrenar el modelo podría quedar expuesta en los resultados del modelo.</t>
  </si>
  <si>
    <t>Los resultados infringen los derechos de propiedad intelectual existentes.</t>
  </si>
  <si>
    <t>Especificar las fuentes de datos y autores de la información analizada.</t>
  </si>
  <si>
    <t>El algoritmo contiene "alucinaciones" o inexactitudes que no existen en los datos de entrenamiento.</t>
  </si>
  <si>
    <t>El caso de uso es difícil de escalar sin problemas de rendimiento.</t>
  </si>
  <si>
    <t>Diseñar una arquitectura escalable y optimizada mediante pruebas de carga tempranas, uso de modelos eficientes y escalamiento horizontal de la infraestructura.</t>
  </si>
  <si>
    <t>El proveedor se atribuye la propiedad de las entradas y salidas generales del algoritmo.</t>
  </si>
  <si>
    <t>Los proveedores de servicio deben firmar un contrato y acuerdo de confidencialidad.</t>
  </si>
  <si>
    <t>Se utiliza el algoritmo o conjunto de datos incorrectos para el problema de negocio en cuestión.</t>
  </si>
  <si>
    <t>Verificar que el algoritmo IA sea probado y comprobado en el mercado, así como, validar que los documentos y datos de entrada con el responsable funcional sean los correctos.</t>
  </si>
  <si>
    <t>Los actores de amenazas comprometen la integridad de los algoritmos.</t>
  </si>
  <si>
    <t>Aplicando controles de seguridad física y lógica, así como un monitoreo continuo de la plataforma Azure.</t>
  </si>
  <si>
    <t>El consumo imprevisto de recursos genera sobrecostos significativos.</t>
  </si>
  <si>
    <t>En la fase de planificación y ejecución realizar un análisis profundo de los recursos de infraestructura que sean necesarios para el desarrollo de la iniciativa, evitando sobrecostos en el presupuesto.Incluir desde el inicio al equipo de Infraestructura y Operaciones, Seguridad de Información, Auditoría y Riesgos.</t>
  </si>
  <si>
    <t>Los riesgos urgentes y emergentes no se abordan a tiempo para evitar un impacto inaceptable en el negocio.</t>
  </si>
  <si>
    <t>Los usuarios desconocen que están interactuando con los resultados de un sistema de IA.</t>
  </si>
  <si>
    <t>En la fase de inicio se debe informar al responsable funcional que su iniciativa será abordada con una tecnología IA.</t>
  </si>
  <si>
    <t>No podemos validar qué algoritmos o datos de entrenamiento utilizó el proveedor.</t>
  </si>
  <si>
    <t xml:space="preserve">En la fase de planificación y ejecución se debe exigir al proveedor de servicio el modelo IA a utilizar, esto debe estar incluido en la arquitectura y model cards. </t>
  </si>
  <si>
    <t>La novedosa capacidad de la IA para agregar y analizar datos rápidamente genera problemas imprevistos de privacidad o seguridad.</t>
  </si>
  <si>
    <t>Implementar controles de privacidad y seguridad por diseño, incluyendo minimización y anonimización de datos, controles de acceso y monitoreo continuo para prevenir riesgos de privacidad o seguridad derivados del análisis masivo de datos por IA.</t>
  </si>
  <si>
    <t>Es difícil atribuir las decisiones tomadas por el modelo a una justificación.</t>
  </si>
  <si>
    <t>Implementar mecanismos de explicabilidad, documentación del modelo y trazabilidad de decisiones para asegurar que los resultados del sistema de IA puedan ser justificados y auditados.</t>
  </si>
  <si>
    <t>El entrenamiento o ajuste de los modelos puede afectar el rendimiento de formas complejas e imprevistas.</t>
  </si>
  <si>
    <t>Establecer controles de validación, versionado y monitoreo continuo del modelo durante el entrenamiento y ajuste para identificar y gestionar impactos inesperados en el rendimiento antes de su despliegue en producción.</t>
  </si>
  <si>
    <t>Las pruebas no capturan adecuadamente los problemas de rendimiento o funcionalidad.</t>
  </si>
  <si>
    <t>Incluir dentro de los escenarios y casos de pruebas sobre rendimiento y funcionalidad que permitan realizar la verificación de estos aspectos. Validar dentro de las pruebas que los ambientes estén configurados de manera correcta.</t>
  </si>
  <si>
    <t>La solución pronto quedará obsoleta debido a los rápidos avances tecnológicos.</t>
  </si>
  <si>
    <t>Diseñar la solución de IA con una arquitectura modular y un proceso de revisión tecnológica periódica que permita actualizar modelos y componentes conforme evolucionen las tecnologías.</t>
  </si>
  <si>
    <t>Validación Datos Personales</t>
  </si>
  <si>
    <t>Categoría de Datos</t>
  </si>
  <si>
    <t>Atributos/Datos</t>
  </si>
  <si>
    <t>¿Contiene DPI? (Sí/No)</t>
  </si>
  <si>
    <t>Resultado</t>
  </si>
  <si>
    <t>Datos personales identificables (DPI)</t>
  </si>
  <si>
    <t>Validación Inicial Sensibilidad de la Información</t>
  </si>
  <si>
    <t>Nivel de Sensibilidad (Alto, Medio, Bajo)</t>
  </si>
  <si>
    <t>Datos financieros confidenciales</t>
  </si>
  <si>
    <t>Alto</t>
  </si>
  <si>
    <t>Requiere clasificación de información, posible información de uso interno restringido.</t>
  </si>
  <si>
    <t>Datos técnicos</t>
  </si>
  <si>
    <t>Medio</t>
  </si>
  <si>
    <t>Datos de terceros</t>
  </si>
  <si>
    <t>Valor de Impacto:</t>
  </si>
  <si>
    <r>
      <t>Alto</t>
    </r>
    <r>
      <rPr>
        <sz val="11"/>
        <color theme="1"/>
        <rFont val="Calibri"/>
        <family val="2"/>
        <scheme val="minor"/>
      </rPr>
      <t>: Riesgo significativo por la sensibilidad de los datos.</t>
    </r>
    <r>
      <rPr>
        <b/>
        <sz val="11"/>
        <color theme="1"/>
        <rFont val="Calibri"/>
        <family val="2"/>
        <scheme val="minor"/>
      </rPr>
      <t xml:space="preserve"> </t>
    </r>
    <r>
      <rPr>
        <sz val="11"/>
        <color theme="1"/>
        <rFont val="Calibri"/>
        <family val="2"/>
        <scheme val="minor"/>
      </rPr>
      <t>Pudiera tratarse de información de uso interno restringido o confidencial.</t>
    </r>
  </si>
  <si>
    <r>
      <t>Medio</t>
    </r>
    <r>
      <rPr>
        <sz val="11"/>
        <color theme="1"/>
        <rFont val="Calibri"/>
        <family val="2"/>
        <scheme val="minor"/>
      </rPr>
      <t>: Riesgo moderado; requiere mitigaciones y seguimiento. Pudiera tratarse de información de uso interno o restringida.</t>
    </r>
  </si>
  <si>
    <r>
      <t>Bajo</t>
    </r>
    <r>
      <rPr>
        <sz val="11"/>
        <color theme="1"/>
        <rFont val="Calibri"/>
        <family val="2"/>
        <scheme val="minor"/>
      </rPr>
      <t>: Riesgo mínimo; cumplimiento estándar suficiente. Pudiera tratarse de información de uso interno o pública.</t>
    </r>
  </si>
  <si>
    <t>Matriz de Riesgos</t>
  </si>
  <si>
    <t>ID Riesgo</t>
  </si>
  <si>
    <t>Descripción del Riesgo</t>
  </si>
  <si>
    <t>Impacto (Alto, Medio, Bajo)</t>
  </si>
  <si>
    <t>R1</t>
  </si>
  <si>
    <t>Acceso no autorizado a DPI o datos financieros</t>
  </si>
  <si>
    <t>R2</t>
  </si>
  <si>
    <t>Procesamiento sin base legal adecuada</t>
  </si>
  <si>
    <r>
      <t>Alto</t>
    </r>
    <r>
      <rPr>
        <sz val="11"/>
        <color theme="1"/>
        <rFont val="Calibri"/>
        <family val="2"/>
        <scheme val="minor"/>
      </rPr>
      <t>: Riesgo significativo por la sensibilidad de los datos.</t>
    </r>
  </si>
  <si>
    <t>R3</t>
  </si>
  <si>
    <t>Falta de anonimización en reportes</t>
  </si>
  <si>
    <r>
      <t>Medio</t>
    </r>
    <r>
      <rPr>
        <sz val="11"/>
        <color theme="1"/>
        <rFont val="Calibri"/>
        <family val="2"/>
        <scheme val="minor"/>
      </rPr>
      <t>: Riesgo moderado; requiere mitigaciones y seguimiento.</t>
    </r>
  </si>
  <si>
    <t>R4</t>
  </si>
  <si>
    <t>Filtración en generación/almacenamiento de reportes</t>
  </si>
  <si>
    <r>
      <t>Bajo</t>
    </r>
    <r>
      <rPr>
        <sz val="11"/>
        <color theme="1"/>
        <rFont val="Calibri"/>
        <family val="2"/>
        <scheme val="minor"/>
      </rPr>
      <t>: Riesgo mínimo; cumplimiento estándar suficiente. </t>
    </r>
  </si>
  <si>
    <t>R5</t>
  </si>
  <si>
    <t>Transferencia a terceros sin salvaguardas contractuales</t>
  </si>
  <si>
    <t>R6</t>
  </si>
  <si>
    <t>Perfilamiento automatizado no justificado</t>
  </si>
  <si>
    <t>Bajo</t>
  </si>
  <si>
    <t>These columns convert the scores into number values, and mark any blanks as "-1" to differentiate from scores of 0</t>
  </si>
  <si>
    <t>Numval - Inherent Probability</t>
  </si>
  <si>
    <t>Numval - Inherent Impact</t>
  </si>
  <si>
    <t>Numval - Residual Probability</t>
  </si>
  <si>
    <t>Numval - Residual Impact</t>
  </si>
  <si>
    <t>AVERAGE INHERENT PROBABILITY</t>
  </si>
  <si>
    <t>AVERAGE INHERENT IMPACT</t>
  </si>
  <si>
    <t>AVERAGE RESIDUAL PROBABILITY</t>
  </si>
  <si>
    <t>AVERAGE RESIDUAL IMPACT</t>
  </si>
  <si>
    <t>Probabilidad</t>
  </si>
  <si>
    <t>Muy Alto - Rojo</t>
  </si>
  <si>
    <t>Alto - Naranja</t>
  </si>
  <si>
    <t>Medio - Amarillo</t>
  </si>
  <si>
    <t>Bajo - Gris</t>
  </si>
  <si>
    <t>Muy Bajo - Sin color</t>
  </si>
  <si>
    <t>Impacto</t>
  </si>
  <si>
    <t xml:space="preserve">The following tables define the data validation lists used throughout this tool. </t>
  </si>
  <si>
    <t>Probability_Scale</t>
  </si>
  <si>
    <t>Impact_Scale</t>
  </si>
  <si>
    <t>Risk_Response</t>
  </si>
  <si>
    <t>0 (Imposible)</t>
  </si>
  <si>
    <t>0 (N/A)</t>
  </si>
  <si>
    <t>Aceptable</t>
  </si>
  <si>
    <t>1 (Muy bajo)</t>
  </si>
  <si>
    <t>Mitigar/Reducir</t>
  </si>
  <si>
    <t>Transferir</t>
  </si>
  <si>
    <t>3 (Medio)</t>
  </si>
  <si>
    <t>Terminado/Eliminado</t>
  </si>
  <si>
    <t>4 (Alto)</t>
  </si>
  <si>
    <t>5 (Muy Alto)</t>
  </si>
  <si>
    <t>Horizontal Axis
(X-Axis)</t>
  </si>
  <si>
    <t>Vertical Axis
(Y-Axis)</t>
  </si>
  <si>
    <t>Ranked Order</t>
  </si>
  <si>
    <t>Highest Value</t>
  </si>
  <si>
    <t>Appearing 1st</t>
  </si>
  <si>
    <t>TOP RIGHT</t>
  </si>
  <si>
    <t>Lowest Value</t>
  </si>
  <si>
    <t>Appearing 2nd</t>
  </si>
  <si>
    <t>BOTTOM RIGHT</t>
  </si>
  <si>
    <t>Mid-Point Value</t>
  </si>
  <si>
    <t>Appearing 3rd</t>
  </si>
  <si>
    <t>TOP LEFT</t>
  </si>
  <si>
    <t>Appearing 4th</t>
  </si>
  <si>
    <t>BOTTOM LEFT</t>
  </si>
  <si>
    <t>TOP RIGHT
(Data Series 1)</t>
  </si>
  <si>
    <t>BOTTOM RIGHT
(Data Series 2)</t>
  </si>
  <si>
    <t>TOP LEFT
(Data Series 3)</t>
  </si>
  <si>
    <t>BOTTOM LEFT
(Data Series 4)</t>
  </si>
  <si>
    <t>Create Sorted List</t>
  </si>
  <si>
    <t>Label</t>
  </si>
  <si>
    <t>X Value</t>
  </si>
  <si>
    <t>Y Value</t>
  </si>
  <si>
    <t>Quadrant?</t>
  </si>
  <si>
    <t>Arbitrary Factor</t>
  </si>
  <si>
    <t>Rank</t>
  </si>
  <si>
    <t>Quadrant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</si>
  <si>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</si>
  <si>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</si>
  <si>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</si>
  <si>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</si>
  <si>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</si>
  <si>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</si>
  <si>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</si>
  <si>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</si>
  <si>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</si>
  <si>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</si>
  <si>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</si>
  <si>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</si>
  <si>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</si>
  <si>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</si>
  <si>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</si>
  <si>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</si>
  <si>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</si>
  <si>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</si>
  <si>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</si>
  <si>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</si>
  <si>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</si>
  <si>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</si>
  <si>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</si>
  <si>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</si>
  <si>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</si>
  <si>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</si>
  <si>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</si>
  <si>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</si>
  <si>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</si>
  <si>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</si>
  <si>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</si>
  <si>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</si>
  <si>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</si>
  <si>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</si>
  <si>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</si>
  <si>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</si>
  <si>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</si>
  <si>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</si>
  <si>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</si>
  <si>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</si>
  <si>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</si>
  <si>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</si>
  <si>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</si>
  <si>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</si>
  <si>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</si>
  <si>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</si>
  <si>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</si>
  <si>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</si>
  <si>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</si>
  <si>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</si>
  <si>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Utilice las escalas de puntuación a continuación.</t>
  </si>
  <si>
    <t xml:space="preserve">Las puntuaciones de riesgo son el producto de las puntuaciones de impacto y probabilidad para un riesgo determinado.
</t>
  </si>
  <si>
    <t>Escala de Puntuación de Riesgo</t>
  </si>
  <si>
    <t>Escala de Colores</t>
  </si>
  <si>
    <t>Se aplica a puntuaciones de riesgo iguales o mayores a:</t>
  </si>
  <si>
    <t>Sin riesgo de incidentes.</t>
  </si>
  <si>
    <t>Sin impacto.</t>
  </si>
  <si>
    <t>Riesgo inherente: ¿Cuál es la probabilidad y el impacto de estos riesgos específicos para el caso de uso identificado?</t>
  </si>
  <si>
    <t>Riesgo residual: ¿cuál es el riesgo restante después de completar los elementos de acción de la izquierda?</t>
  </si>
  <si>
    <t>Nivel 1: Tipos de Riesgo de la IA</t>
  </si>
  <si>
    <t>Casi nula probabilidad de ocurrencia - el evento podría ocurrir muy esporádicamente o en circunstancias excepcionales.</t>
  </si>
  <si>
    <t>Limitada probabilidad de ocurrencia - el evento podría ocurrir en circunstancias poco recurrentes.</t>
  </si>
  <si>
    <t>Mediana probabilidad de ocurrencia - el evento podría ocurrir algunas veces o en algún momento.</t>
  </si>
  <si>
    <t>Significativa probabilidad de ocurrencia – el evento podría ocurrir regularmente.</t>
  </si>
  <si>
    <t>Recurrente probabilidad de ocurrencia - el evento podría ocurrir en casi cualquier circunstancia</t>
  </si>
  <si>
    <t>Pérdidas mínimas, no significativas para el funcionamiento de la institución.</t>
  </si>
  <si>
    <t>Pérdidas menores, no críticas para el funcionamiento de la institución.</t>
  </si>
  <si>
    <t>Pérdidas medianas, poco críticas para la Institución, pero de las cuales se puede reponer rápidamente.</t>
  </si>
  <si>
    <t>Pérdidas medianas, críticas para la Institución, pero de las cuales se repondrá a mediano plazo.</t>
  </si>
  <si>
    <t>Pérdidas muy altas, muy críticas para la corporación, requiere de planes complejos para la recuperación de la institución.</t>
  </si>
  <si>
    <t>Nombres completos, cargos, firmas del equipo de crédito</t>
  </si>
  <si>
    <t>Sí</t>
  </si>
  <si>
    <t>Requiere evaluación de privacidad de datos.</t>
  </si>
  <si>
    <t>Diseño</t>
  </si>
  <si>
    <t>Algoritmo y Modelo</t>
  </si>
  <si>
    <t>Datos</t>
  </si>
  <si>
    <t>Operacional</t>
  </si>
  <si>
    <t>Nivel 2: Riesgos de IA</t>
  </si>
  <si>
    <t xml:space="preserve">Probabilidad Inherente </t>
  </si>
  <si>
    <t>Impacto Inherente</t>
  </si>
  <si>
    <t>Riesgo Inherente (Probabilidad x Impacto)</t>
  </si>
  <si>
    <t>Respuesta al Riesgo</t>
  </si>
  <si>
    <t>Controles y Acciones Recomendaciones</t>
  </si>
  <si>
    <t>Probabilidad Residual</t>
  </si>
  <si>
    <t>Impacto Residual</t>
  </si>
  <si>
    <t xml:space="preserve">Riesgo Residual </t>
  </si>
  <si>
    <t>Reducción del Riesgo</t>
  </si>
  <si>
    <t>Involucrar al PO y a los Responsables Funcionales en las reuniones de revisión y durante todo el Ciclo de Operacionalización de la solución. El resultado de la solución no debe ser volcado directamente en los instrumentos de decisión de la organización sin revisión previa.</t>
  </si>
  <si>
    <t>Las iniciativas deben estar alojadas en un ambiente controlado, con acceso a diferentes perfiles de usuarios del área de negocio correspondiente. Concientización de los usuarios sobre los riesgos de exponer información confidencial.</t>
  </si>
  <si>
    <t>Validar que el modelo IA a utilizar en la iniciativa sea comprobado y probado, con la aplicación de ajustes de calibración del modelo y de los prompts.</t>
  </si>
  <si>
    <t>Implementar monitoreo continuo y un proceso formal de gestión y escalamiento de riesgos para identificar y abordar oportunamente riesgos emergentes antes de que generen impactos significativos en el negocio.</t>
  </si>
  <si>
    <t>Montos de préstamo, monto de desembolsos, costo del proyecto, aporte local, otros aportes, préstamo, financiamiento CAF, refinanciamiento, cofinanciamiento, etc.</t>
  </si>
  <si>
    <t>Criterios de elegibilidad, actividades, indicadores y subindicadores, sostenibilidad, condiciones, dispensas, acuerdos, compromisos, recursos, registro fotográfico, enmiendas,estaciones transformadoras, capacidad de transformación, descripción de obras, planes de gestión ambiental, ejecución técnica, especificaciones técnicas de infraestructura, parámetros operativos, información de ingeniería, infraestructura.</t>
  </si>
  <si>
    <t>Nombre de empresas, entes gubernamentales y aliados, cargos, responsables (clientes, organismo ejecutor, costructor, garante, aliado).</t>
  </si>
  <si>
    <t>Vinculador DMAF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</si>
</sst>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0"/>
      <name val="Arial"/>
      <family val="2"/>
    </font>
    <font>
      <b/>
      <sz val="10"/>
      <name val="Arial"/>
      <family val="2"/>
    </font>
    <font>
      <sz val="11"/>
      <color theme="1"/>
      <name val="Arial"/>
      <family val="2"/>
    </font>
    <font>
      <sz val="10"/>
      <color theme="1"/>
      <name val="Arial"/>
      <family val="2"/>
    </font>
    <font>
      <sz val="10"/>
      <color rgb="FFFFFFFF"/>
      <name val="Arial"/>
      <family val="2"/>
    </font>
    <font>
      <b/>
      <sz val="18"/>
      <color theme="0"/>
      <name val="Arial"/>
      <family val="2"/>
    </font>
    <font>
      <b/>
      <sz val="12"/>
      <color theme="0"/>
      <name val="Arial"/>
      <family val="2"/>
    </font>
    <font>
      <b/>
      <sz val="10"/>
      <color theme="0"/>
      <name val="Arial"/>
      <family val="2"/>
    </font>
    <font>
      <b/>
      <sz val="11"/>
      <color theme="0"/>
      <name val="Arial"/>
      <family val="2"/>
    </font>
    <font>
      <i/>
      <sz val="11"/>
      <color theme="1"/>
      <name val="Calibri"/>
      <family val="2"/>
      <scheme val="minor"/>
    </font>
    <font>
      <b/>
      <sz val="12"/>
      <color theme="4"/>
      <name val="Arial"/>
      <family val="2"/>
    </font>
    <font>
      <b/>
      <sz val="12"/>
      <name val="Arial"/>
      <family val="2"/>
    </font>
    <font>
      <b/>
      <sz val="9"/>
      <name val="Arial"/>
      <family val="2"/>
    </font>
    <font>
      <sz val="11"/>
      <name val="Arial"/>
      <family val="2"/>
    </font>
    <font>
      <sz val="11"/>
      <color theme="0"/>
      <name val="Arial"/>
      <family val="2"/>
    </font>
    <font>
      <b/>
      <sz val="11"/>
      <color theme="0"/>
      <name val="Calibri"/>
      <family val="2"/>
    </font>
  </fonts>
  <fills count="56">
    <fill>
      <patternFill patternType="none"/>
    </fill>
    <fill>
      <patternFill patternType="gray125"/>
    </fill>
    <fill>
      <patternFill patternType="solid">
        <fgColor theme="6"/>
        <bgColor indexed="64"/>
      </patternFill>
    </fill>
    <fill>
      <patternFill patternType="solid">
        <fgColor theme="4"/>
        <bgColor indexed="64"/>
      </patternFill>
    </fill>
    <fill>
      <patternFill patternType="solid">
        <fgColor rgb="FF9CB18D"/>
        <bgColor indexed="64"/>
      </patternFill>
    </fill>
    <fill>
      <patternFill patternType="solid">
        <fgColor rgb="FF7B9767"/>
        <bgColor indexed="64"/>
      </patternFill>
    </fill>
    <fill>
      <patternFill patternType="solid">
        <fgColor rgb="FF5A7D41"/>
        <bgColor indexed="64"/>
      </patternFill>
    </fill>
    <fill>
      <patternFill patternType="solid">
        <fgColor rgb="FF3F582E"/>
        <bgColor indexed="64"/>
      </patternFill>
    </fill>
    <fill>
      <patternFill patternType="solid">
        <fgColor rgb="FF2D3E20"/>
        <bgColor indexed="64"/>
      </patternFill>
    </fill>
    <fill>
      <patternFill patternType="solid">
        <fgColor rgb="FF66ADC1"/>
        <bgColor indexed="64"/>
      </patternFill>
    </fill>
    <fill>
      <patternFill patternType="solid">
        <fgColor rgb="FF3391AD"/>
        <bgColor indexed="64"/>
      </patternFill>
    </fill>
    <fill>
      <patternFill patternType="solid">
        <fgColor rgb="FF007698"/>
        <bgColor indexed="64"/>
      </patternFill>
    </fill>
    <fill>
      <patternFill patternType="solid">
        <fgColor rgb="FF005E7A"/>
        <bgColor indexed="64"/>
      </patternFill>
    </fill>
    <fill>
      <patternFill patternType="solid">
        <fgColor rgb="FF00475B"/>
        <bgColor indexed="64"/>
      </patternFill>
    </fill>
    <fill>
      <patternFill patternType="solid">
        <fgColor rgb="FFA24130"/>
        <bgColor indexed="64"/>
      </patternFill>
    </fill>
    <fill>
      <patternFill patternType="solid">
        <fgColor rgb="FF823426"/>
        <bgColor indexed="64"/>
      </patternFill>
    </fill>
    <fill>
      <patternFill patternType="solid">
        <fgColor rgb="FF61271D"/>
        <bgColor indexed="64"/>
      </patternFill>
    </fill>
    <fill>
      <patternFill patternType="solid">
        <fgColor rgb="FF411A13"/>
        <bgColor indexed="64"/>
      </patternFill>
    </fill>
    <fill>
      <patternFill patternType="solid">
        <fgColor rgb="FF200D0A"/>
        <bgColor indexed="64"/>
      </patternFill>
    </fill>
    <fill>
      <patternFill patternType="solid">
        <fgColor rgb="FFE8C770"/>
        <bgColor indexed="64"/>
      </patternFill>
    </fill>
    <fill>
      <patternFill patternType="solid">
        <fgColor rgb="FFE1B540"/>
        <bgColor indexed="64"/>
      </patternFill>
    </fill>
    <fill>
      <patternFill patternType="solid">
        <fgColor rgb="FFD9A210"/>
        <bgColor indexed="64"/>
      </patternFill>
    </fill>
    <fill>
      <patternFill patternType="solid">
        <fgColor rgb="FFCC9200"/>
        <bgColor indexed="64"/>
      </patternFill>
    </fill>
    <fill>
      <patternFill patternType="solid">
        <fgColor rgb="FFAC7300"/>
        <bgColor indexed="64"/>
      </patternFill>
    </fill>
    <fill>
      <patternFill patternType="solid">
        <fgColor rgb="FFB0C534"/>
        <bgColor indexed="64"/>
      </patternFill>
    </fill>
    <fill>
      <patternFill patternType="solid">
        <fgColor rgb="FF71B12D"/>
        <bgColor indexed="64"/>
      </patternFill>
    </fill>
    <fill>
      <patternFill patternType="solid">
        <fgColor rgb="FF2B9E36"/>
        <bgColor indexed="64"/>
      </patternFill>
    </fill>
    <fill>
      <patternFill patternType="solid">
        <fgColor rgb="FF227E2B"/>
        <bgColor indexed="64"/>
      </patternFill>
    </fill>
    <fill>
      <patternFill patternType="solid">
        <fgColor rgb="FF1A5F20"/>
        <bgColor indexed="64"/>
      </patternFill>
    </fill>
    <fill>
      <patternFill patternType="solid">
        <fgColor rgb="FF7F919F"/>
        <bgColor indexed="64"/>
      </patternFill>
    </fill>
    <fill>
      <patternFill patternType="solid">
        <fgColor rgb="FF546C7F"/>
        <bgColor indexed="64"/>
      </patternFill>
    </fill>
    <fill>
      <patternFill patternType="solid">
        <fgColor rgb="FF29475F"/>
        <bgColor indexed="64"/>
      </patternFill>
    </fill>
    <fill>
      <patternFill patternType="solid">
        <fgColor rgb="FF21394C"/>
        <bgColor indexed="64"/>
      </patternFill>
    </fill>
    <fill>
      <patternFill patternType="solid">
        <fgColor rgb="FF192B39"/>
        <bgColor indexed="64"/>
      </patternFill>
    </fill>
    <fill>
      <patternFill patternType="solid">
        <fgColor rgb="FFB25F5F"/>
        <bgColor indexed="64"/>
      </patternFill>
    </fill>
    <fill>
      <patternFill patternType="solid">
        <fgColor rgb="FFB03838"/>
        <bgColor indexed="64"/>
      </patternFill>
    </fill>
    <fill>
      <patternFill patternType="solid">
        <fgColor rgb="FFA52D2D"/>
        <bgColor indexed="64"/>
      </patternFill>
    </fill>
    <fill>
      <patternFill patternType="solid">
        <fgColor rgb="FF943E3E"/>
        <bgColor indexed="64"/>
      </patternFill>
    </fill>
    <fill>
      <patternFill patternType="solid">
        <fgColor rgb="FF823326"/>
        <bgColor indexed="64"/>
      </patternFill>
    </fill>
    <fill>
      <patternFill patternType="solid">
        <fgColor theme="0" tint="-0.249977111117893"/>
        <bgColor indexed="64"/>
      </patternFill>
    </fill>
    <fill>
      <patternFill patternType="solid">
        <fgColor theme="4"/>
        <bgColor rgb="FF000000"/>
      </patternFill>
    </fill>
    <fill>
      <patternFill patternType="solid">
        <fgColor theme="5"/>
        <bgColor rgb="FF000000"/>
      </patternFill>
    </fill>
    <fill>
      <patternFill patternType="solid">
        <fgColor theme="6"/>
        <bgColor rgb="FF000000"/>
      </patternFill>
    </fill>
    <fill>
      <patternFill patternType="solid">
        <fgColor theme="8"/>
        <bgColor rgb="FF000000"/>
      </patternFill>
    </fill>
    <fill>
      <patternFill patternType="solid">
        <fgColor theme="5"/>
        <bgColor indexed="64"/>
      </patternFill>
    </fill>
    <fill>
      <patternFill patternType="solid">
        <fgColor theme="7"/>
        <bgColor rgb="FF000000"/>
      </patternFill>
    </fill>
    <fill>
      <patternFill patternType="solid">
        <fgColor rgb="FFCADAE8"/>
        <bgColor indexed="64"/>
      </patternFill>
    </fill>
    <fill>
      <patternFill patternType="solid">
        <fgColor theme="0"/>
        <bgColor indexed="64"/>
      </patternFill>
    </fill>
    <fill>
      <patternFill patternType="solid">
        <fgColor rgb="FFC00000"/>
        <bgColor indexed="64"/>
      </patternFill>
    </fill>
    <fill>
      <patternFill patternType="solid">
        <fgColor rgb="FFE26B0A"/>
        <bgColor indexed="64"/>
      </patternFill>
    </fill>
    <fill>
      <patternFill patternType="solid">
        <fgColor rgb="FFFFFF00"/>
        <bgColor indexed="64"/>
      </patternFill>
    </fill>
    <fill>
      <patternFill patternType="solid">
        <fgColor theme="0" tint="-0.14999847407452621"/>
        <bgColor indexed="64"/>
      </patternFill>
    </fill>
    <fill>
      <patternFill patternType="solid">
        <fgColor rgb="FFCED990"/>
        <bgColor indexed="64"/>
      </patternFill>
    </fill>
    <fill>
      <patternFill patternType="solid">
        <fgColor theme="7"/>
        <bgColor indexed="64"/>
      </patternFill>
    </fill>
    <fill>
      <patternFill patternType="solid">
        <fgColor theme="3" tint="-0.249977111117893"/>
        <bgColor indexed="64"/>
      </patternFill>
    </fill>
    <fill>
      <patternFill patternType="solid">
        <fgColor rgb="FFFFC000"/>
        <bgColor indexed="64"/>
      </patternFill>
    </fill>
  </fills>
  <borders count="2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thin">
        <color theme="0"/>
      </left>
      <right style="thin">
        <color theme="0"/>
      </right>
      <top style="medium">
        <color indexed="64"/>
      </top>
      <bottom style="thin">
        <color indexed="64"/>
      </bottom>
      <diagonal/>
    </border>
    <border>
      <left style="thin">
        <color indexed="64"/>
      </left>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8">
    <xf numFmtId="0" fontId="0" fillId="0" borderId="0"/>
    <xf numFmtId="0" fontId="3"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4" fillId="0" borderId="0"/>
    <xf numFmtId="0" fontId="2" fillId="0" borderId="0"/>
  </cellStyleXfs>
  <cellXfs count="163">
    <xf numFmtId="0" fontId="0" fillId="0" borderId="0" xfId="0"/>
    <xf numFmtId="0" fontId="3" fillId="0" borderId="0" xfId="1"/>
    <xf numFmtId="0" fontId="6" fillId="0" borderId="0" xfId="2" applyFont="1"/>
    <xf numFmtId="0" fontId="2" fillId="0" borderId="0" xfId="2"/>
    <xf numFmtId="0" fontId="6" fillId="4" borderId="0" xfId="2" applyFont="1" applyFill="1"/>
    <xf numFmtId="0" fontId="6" fillId="5" borderId="0" xfId="2" applyFont="1" applyFill="1"/>
    <xf numFmtId="0" fontId="6" fillId="6" borderId="0" xfId="2" applyFont="1" applyFill="1"/>
    <xf numFmtId="0" fontId="6" fillId="7" borderId="0" xfId="2" applyFont="1" applyFill="1"/>
    <xf numFmtId="0" fontId="6" fillId="8" borderId="0" xfId="2" applyFont="1" applyFill="1"/>
    <xf numFmtId="0" fontId="6" fillId="9" borderId="0" xfId="2" applyFont="1" applyFill="1"/>
    <xf numFmtId="0" fontId="6" fillId="10" borderId="0" xfId="2" applyFont="1" applyFill="1"/>
    <xf numFmtId="0" fontId="6" fillId="11" borderId="0" xfId="2" applyFont="1" applyFill="1"/>
    <xf numFmtId="0" fontId="6" fillId="12" borderId="0" xfId="2" applyFont="1" applyFill="1"/>
    <xf numFmtId="0" fontId="6" fillId="13" borderId="0" xfId="2" applyFont="1" applyFill="1"/>
    <xf numFmtId="0" fontId="6" fillId="14" borderId="0" xfId="2" applyFont="1" applyFill="1"/>
    <xf numFmtId="0" fontId="6" fillId="15" borderId="0" xfId="2" applyFont="1" applyFill="1"/>
    <xf numFmtId="0" fontId="6" fillId="16" borderId="0" xfId="2" applyFont="1" applyFill="1"/>
    <xf numFmtId="0" fontId="6" fillId="17" borderId="0" xfId="2" applyFont="1" applyFill="1"/>
    <xf numFmtId="0" fontId="6" fillId="18" borderId="0" xfId="2" applyFont="1" applyFill="1"/>
    <xf numFmtId="0" fontId="6" fillId="19" borderId="0" xfId="2" applyFont="1" applyFill="1"/>
    <xf numFmtId="0" fontId="6" fillId="20" borderId="0" xfId="2" applyFont="1" applyFill="1"/>
    <xf numFmtId="0" fontId="6" fillId="21" borderId="0" xfId="2" applyFont="1" applyFill="1"/>
    <xf numFmtId="0" fontId="6" fillId="22" borderId="0" xfId="2" applyFont="1" applyFill="1"/>
    <xf numFmtId="0" fontId="6" fillId="23" borderId="0" xfId="2" applyFont="1" applyFill="1"/>
    <xf numFmtId="0" fontId="6" fillId="24" borderId="0" xfId="2" applyFont="1" applyFill="1"/>
    <xf numFmtId="0" fontId="6" fillId="25" borderId="0" xfId="2" applyFont="1" applyFill="1"/>
    <xf numFmtId="0" fontId="6" fillId="26" borderId="0" xfId="2" applyFont="1" applyFill="1"/>
    <xf numFmtId="0" fontId="6" fillId="27" borderId="0" xfId="2" applyFont="1" applyFill="1"/>
    <xf numFmtId="0" fontId="6" fillId="28" borderId="0" xfId="2" applyFont="1" applyFill="1"/>
    <xf numFmtId="0" fontId="6" fillId="29" borderId="0" xfId="2" applyFont="1" applyFill="1"/>
    <xf numFmtId="0" fontId="6" fillId="30" borderId="0" xfId="2" applyFont="1" applyFill="1"/>
    <xf numFmtId="0" fontId="6" fillId="31" borderId="0" xfId="2" applyFont="1" applyFill="1"/>
    <xf numFmtId="0" fontId="6" fillId="32" borderId="0" xfId="2" applyFont="1" applyFill="1"/>
    <xf numFmtId="0" fontId="6" fillId="33" borderId="0" xfId="2" applyFont="1" applyFill="1"/>
    <xf numFmtId="0" fontId="6" fillId="34" borderId="0" xfId="2" applyFont="1" applyFill="1"/>
    <xf numFmtId="0" fontId="6" fillId="35" borderId="0" xfId="2" applyFont="1" applyFill="1"/>
    <xf numFmtId="0" fontId="6" fillId="36" borderId="0" xfId="2" applyFont="1" applyFill="1"/>
    <xf numFmtId="0" fontId="6" fillId="37" borderId="0" xfId="2" applyFont="1" applyFill="1"/>
    <xf numFmtId="0" fontId="6" fillId="38" borderId="0" xfId="2" applyFont="1" applyFill="1"/>
    <xf numFmtId="0" fontId="3" fillId="0" borderId="0" xfId="1" applyAlignment="1">
      <alignment vertical="center"/>
    </xf>
    <xf numFmtId="0" fontId="2" fillId="0" borderId="4" xfId="2" applyBorder="1"/>
    <xf numFmtId="0" fontId="1" fillId="0" borderId="4" xfId="2" applyFont="1" applyBorder="1" applyAlignment="1">
      <alignment horizontal="center" wrapText="1"/>
    </xf>
    <xf numFmtId="0" fontId="2" fillId="39" borderId="4" xfId="2" applyFill="1" applyBorder="1"/>
    <xf numFmtId="0" fontId="1" fillId="0" borderId="0" xfId="2" applyFont="1"/>
    <xf numFmtId="0" fontId="2" fillId="0" borderId="0" xfId="2" applyAlignment="1">
      <alignment wrapText="1"/>
    </xf>
    <xf numFmtId="0" fontId="2" fillId="0" borderId="4" xfId="2" applyBorder="1" applyAlignment="1">
      <alignment horizontal="center"/>
    </xf>
    <xf numFmtId="0" fontId="5" fillId="0" borderId="0" xfId="1" applyFont="1" applyAlignment="1">
      <alignment vertical="center"/>
    </xf>
    <xf numFmtId="0" fontId="8" fillId="40" borderId="0" xfId="1" applyFont="1" applyFill="1"/>
    <xf numFmtId="0" fontId="8" fillId="41" borderId="0" xfId="1" applyFont="1" applyFill="1"/>
    <xf numFmtId="0" fontId="3" fillId="42" borderId="0" xfId="1" applyFill="1"/>
    <xf numFmtId="0" fontId="3" fillId="43" borderId="0" xfId="1" applyFill="1"/>
    <xf numFmtId="0" fontId="11" fillId="44" borderId="6" xfId="1" applyFont="1" applyFill="1" applyBorder="1"/>
    <xf numFmtId="0" fontId="11" fillId="44" borderId="6" xfId="1" applyFont="1" applyFill="1" applyBorder="1" applyAlignment="1">
      <alignment vertical="top"/>
    </xf>
    <xf numFmtId="0" fontId="10" fillId="0" borderId="0" xfId="1" applyFont="1"/>
    <xf numFmtId="0" fontId="11" fillId="0" borderId="0" xfId="1" applyFont="1"/>
    <xf numFmtId="0" fontId="3" fillId="45" borderId="0" xfId="1" applyFill="1"/>
    <xf numFmtId="0" fontId="9" fillId="3" borderId="2" xfId="1" applyFont="1" applyFill="1" applyBorder="1" applyAlignment="1">
      <alignment vertical="center"/>
    </xf>
    <xf numFmtId="0" fontId="9" fillId="3" borderId="3" xfId="1" applyFont="1" applyFill="1" applyBorder="1" applyAlignment="1">
      <alignment vertical="center"/>
    </xf>
    <xf numFmtId="0" fontId="1" fillId="0" borderId="4" xfId="2" applyFont="1" applyBorder="1" applyAlignment="1">
      <alignment horizontal="center" vertical="center" wrapText="1"/>
    </xf>
    <xf numFmtId="0" fontId="9" fillId="31" borderId="1" xfId="1" applyFont="1" applyFill="1" applyBorder="1" applyAlignment="1">
      <alignment vertical="center"/>
    </xf>
    <xf numFmtId="0" fontId="3" fillId="0" borderId="0" xfId="1" applyAlignment="1">
      <alignment wrapText="1"/>
    </xf>
    <xf numFmtId="0" fontId="9" fillId="3" borderId="2" xfId="1" applyFont="1" applyFill="1" applyBorder="1" applyAlignment="1">
      <alignment vertical="center" wrapText="1"/>
    </xf>
    <xf numFmtId="0" fontId="10" fillId="3" borderId="9" xfId="1" applyFont="1" applyFill="1" applyBorder="1" applyAlignment="1">
      <alignment wrapText="1"/>
    </xf>
    <xf numFmtId="0" fontId="3" fillId="2" borderId="7" xfId="1" applyFill="1" applyBorder="1" applyAlignment="1">
      <alignment wrapText="1"/>
    </xf>
    <xf numFmtId="0" fontId="3" fillId="0" borderId="7" xfId="1" applyBorder="1" applyAlignment="1">
      <alignment wrapText="1"/>
    </xf>
    <xf numFmtId="0" fontId="3" fillId="46" borderId="7" xfId="1" applyFill="1" applyBorder="1" applyAlignment="1">
      <alignment wrapText="1"/>
    </xf>
    <xf numFmtId="0" fontId="11" fillId="44" borderId="10" xfId="1" applyFont="1" applyFill="1" applyBorder="1"/>
    <xf numFmtId="0" fontId="3" fillId="0" borderId="8" xfId="1" applyBorder="1" applyAlignment="1">
      <alignment wrapText="1"/>
    </xf>
    <xf numFmtId="0" fontId="11" fillId="44" borderId="10" xfId="1" applyFont="1" applyFill="1" applyBorder="1" applyAlignment="1">
      <alignment vertical="top"/>
    </xf>
    <xf numFmtId="0" fontId="3" fillId="47" borderId="4" xfId="1" applyFill="1" applyBorder="1"/>
    <xf numFmtId="0" fontId="1" fillId="0" borderId="0" xfId="0" applyFont="1"/>
    <xf numFmtId="164" fontId="3" fillId="0" borderId="4" xfId="1" applyNumberFormat="1" applyBorder="1" applyAlignment="1">
      <alignment horizontal="center"/>
    </xf>
    <xf numFmtId="0" fontId="5" fillId="47" borderId="4" xfId="1" applyFont="1" applyFill="1" applyBorder="1"/>
    <xf numFmtId="0" fontId="3" fillId="47" borderId="3" xfId="1" applyFill="1" applyBorder="1"/>
    <xf numFmtId="0" fontId="3" fillId="0" borderId="0" xfId="1" applyAlignment="1">
      <alignment horizontal="center"/>
    </xf>
    <xf numFmtId="0" fontId="3" fillId="0" borderId="0" xfId="1" applyAlignment="1">
      <alignment horizontal="center" vertical="center"/>
    </xf>
    <xf numFmtId="0" fontId="3" fillId="47" borderId="4" xfId="1" applyFill="1" applyBorder="1" applyAlignment="1">
      <alignment horizontal="center"/>
    </xf>
    <xf numFmtId="0" fontId="5" fillId="47" borderId="4" xfId="1" applyFont="1" applyFill="1" applyBorder="1" applyAlignment="1">
      <alignment horizontal="center"/>
    </xf>
    <xf numFmtId="0" fontId="11" fillId="48" borderId="4" xfId="1" applyFont="1" applyFill="1" applyBorder="1"/>
    <xf numFmtId="0" fontId="11" fillId="49" borderId="4" xfId="1" applyFont="1" applyFill="1" applyBorder="1"/>
    <xf numFmtId="0" fontId="5" fillId="50" borderId="4" xfId="1" applyFont="1" applyFill="1" applyBorder="1"/>
    <xf numFmtId="0" fontId="5" fillId="51" borderId="4" xfId="1" applyFont="1" applyFill="1" applyBorder="1"/>
    <xf numFmtId="0" fontId="5" fillId="0" borderId="4" xfId="1" applyFont="1" applyBorder="1" applyAlignment="1">
      <alignment horizontal="center"/>
    </xf>
    <xf numFmtId="0" fontId="10" fillId="3" borderId="12" xfId="0" applyFont="1" applyFill="1" applyBorder="1" applyAlignment="1">
      <alignment wrapText="1"/>
    </xf>
    <xf numFmtId="0" fontId="3" fillId="47" borderId="4" xfId="0" applyFont="1" applyFill="1" applyBorder="1"/>
    <xf numFmtId="0" fontId="13" fillId="0" borderId="0" xfId="0" applyFont="1"/>
    <xf numFmtId="0" fontId="10" fillId="3" borderId="9" xfId="0" applyFont="1" applyFill="1" applyBorder="1" applyAlignment="1">
      <alignment wrapText="1"/>
    </xf>
    <xf numFmtId="164" fontId="3" fillId="0" borderId="0" xfId="1" applyNumberFormat="1" applyAlignment="1">
      <alignment horizontal="center"/>
    </xf>
    <xf numFmtId="0" fontId="10" fillId="3" borderId="13" xfId="1" applyFont="1" applyFill="1" applyBorder="1" applyAlignment="1">
      <alignment wrapText="1"/>
    </xf>
    <xf numFmtId="0" fontId="3" fillId="47" borderId="6" xfId="1" applyFill="1" applyBorder="1"/>
    <xf numFmtId="0" fontId="3" fillId="47" borderId="7" xfId="1" applyFill="1" applyBorder="1" applyAlignment="1">
      <alignment horizontal="center"/>
    </xf>
    <xf numFmtId="0" fontId="3" fillId="47" borderId="7" xfId="1" applyFill="1" applyBorder="1" applyAlignment="1">
      <alignment horizontal="center" wrapText="1"/>
    </xf>
    <xf numFmtId="0" fontId="3" fillId="47" borderId="6" xfId="1" applyFill="1" applyBorder="1" applyAlignment="1">
      <alignment horizontal="center"/>
    </xf>
    <xf numFmtId="0" fontId="3" fillId="47" borderId="7" xfId="1" applyFill="1" applyBorder="1" applyAlignment="1">
      <alignment wrapText="1"/>
    </xf>
    <xf numFmtId="0" fontId="5" fillId="47" borderId="6" xfId="1" applyFont="1" applyFill="1" applyBorder="1" applyAlignment="1">
      <alignment horizontal="center"/>
    </xf>
    <xf numFmtId="0" fontId="10" fillId="3" borderId="16" xfId="1" applyFont="1" applyFill="1" applyBorder="1" applyAlignment="1">
      <alignment wrapText="1"/>
    </xf>
    <xf numFmtId="0" fontId="15" fillId="52" borderId="4" xfId="1" quotePrefix="1" applyFont="1" applyFill="1" applyBorder="1" applyAlignment="1">
      <alignment horizontal="center"/>
    </xf>
    <xf numFmtId="0" fontId="16" fillId="52" borderId="4" xfId="1" applyFont="1" applyFill="1" applyBorder="1" applyAlignment="1">
      <alignment horizontal="center"/>
    </xf>
    <xf numFmtId="0" fontId="17" fillId="0" borderId="0" xfId="1" applyFont="1"/>
    <xf numFmtId="0" fontId="17" fillId="0" borderId="0" xfId="1" applyFont="1" applyAlignment="1">
      <alignment wrapText="1"/>
    </xf>
    <xf numFmtId="0" fontId="17" fillId="47" borderId="0" xfId="1" applyFont="1" applyFill="1"/>
    <xf numFmtId="0" fontId="9" fillId="3" borderId="0" xfId="1" applyFont="1" applyFill="1" applyAlignment="1">
      <alignment vertical="center"/>
    </xf>
    <xf numFmtId="0" fontId="11" fillId="3" borderId="4" xfId="1" applyFont="1" applyFill="1" applyBorder="1"/>
    <xf numFmtId="0" fontId="10" fillId="3" borderId="15" xfId="1" applyFont="1" applyFill="1" applyBorder="1"/>
    <xf numFmtId="0" fontId="3" fillId="47" borderId="1" xfId="1" applyFill="1" applyBorder="1" applyAlignment="1">
      <alignment horizontal="center"/>
    </xf>
    <xf numFmtId="0" fontId="3" fillId="47" borderId="1" xfId="1" applyFill="1" applyBorder="1" applyAlignment="1">
      <alignment horizontal="center" wrapText="1"/>
    </xf>
    <xf numFmtId="0" fontId="10" fillId="3" borderId="17" xfId="1" applyFont="1" applyFill="1" applyBorder="1" applyAlignment="1">
      <alignment wrapText="1"/>
    </xf>
    <xf numFmtId="0" fontId="10" fillId="44" borderId="17" xfId="1" applyFont="1" applyFill="1" applyBorder="1" applyAlignment="1">
      <alignment wrapText="1"/>
    </xf>
    <xf numFmtId="0" fontId="14" fillId="3" borderId="17" xfId="1" applyFont="1" applyFill="1" applyBorder="1" applyAlignment="1">
      <alignment wrapText="1"/>
    </xf>
    <xf numFmtId="0" fontId="10" fillId="44" borderId="17" xfId="1" applyFont="1" applyFill="1" applyBorder="1" applyAlignment="1">
      <alignment horizontal="center" wrapText="1"/>
    </xf>
    <xf numFmtId="0" fontId="10" fillId="3" borderId="18" xfId="1" applyFont="1" applyFill="1" applyBorder="1" applyAlignment="1">
      <alignment wrapText="1"/>
    </xf>
    <xf numFmtId="0" fontId="10" fillId="44" borderId="6" xfId="1" applyFont="1" applyFill="1" applyBorder="1" applyAlignment="1">
      <alignment horizontal="center" textRotation="90" wrapText="1"/>
    </xf>
    <xf numFmtId="0" fontId="10" fillId="44" borderId="4" xfId="1" applyFont="1" applyFill="1" applyBorder="1" applyAlignment="1">
      <alignment horizontal="center" textRotation="90" wrapText="1"/>
    </xf>
    <xf numFmtId="0" fontId="10" fillId="44" borderId="5" xfId="1" applyFont="1" applyFill="1" applyBorder="1" applyAlignment="1">
      <alignment wrapText="1"/>
    </xf>
    <xf numFmtId="0" fontId="3" fillId="53" borderId="7" xfId="1" applyFill="1" applyBorder="1"/>
    <xf numFmtId="0" fontId="3" fillId="47" borderId="2" xfId="1" applyFill="1" applyBorder="1" applyAlignment="1">
      <alignment wrapText="1"/>
    </xf>
    <xf numFmtId="0" fontId="10" fillId="3" borderId="17" xfId="1" applyFont="1" applyFill="1" applyBorder="1" applyAlignment="1">
      <alignment horizontal="center" vertical="center" wrapText="1"/>
    </xf>
    <xf numFmtId="0" fontId="3" fillId="47" borderId="1" xfId="1" applyFill="1" applyBorder="1" applyAlignment="1">
      <alignment wrapText="1"/>
    </xf>
    <xf numFmtId="0" fontId="0" fillId="0" borderId="0" xfId="0" applyAlignment="1">
      <alignment horizontal="center" wrapText="1"/>
    </xf>
    <xf numFmtId="0" fontId="19" fillId="54" borderId="4" xfId="0" applyFont="1" applyFill="1" applyBorder="1"/>
    <xf numFmtId="0" fontId="19" fillId="54" borderId="4" xfId="0" applyFont="1" applyFill="1" applyBorder="1" applyAlignment="1">
      <alignment horizontal="center" wrapText="1"/>
    </xf>
    <xf numFmtId="0" fontId="0" fillId="0" borderId="4" xfId="0" applyBorder="1"/>
    <xf numFmtId="0" fontId="0" fillId="0" borderId="4" xfId="0" applyBorder="1" applyAlignment="1">
      <alignment horizontal="center" wrapText="1"/>
    </xf>
    <xf numFmtId="0" fontId="1" fillId="55" borderId="4" xfId="0" applyFont="1" applyFill="1" applyBorder="1" applyAlignment="1">
      <alignment vertical="center" wrapText="1"/>
    </xf>
    <xf numFmtId="0" fontId="0" fillId="0" borderId="4" xfId="0" applyBorder="1" applyAlignment="1">
      <alignment horizontal="left" vertical="center" wrapText="1"/>
    </xf>
    <xf numFmtId="0" fontId="1" fillId="0" borderId="4" xfId="0" applyFont="1" applyBorder="1" applyAlignment="1">
      <alignment horizontal="left" vertical="center" wrapText="1"/>
    </xf>
    <xf numFmtId="0" fontId="0" fillId="0" borderId="4" xfId="0" applyBorder="1" applyAlignment="1">
      <alignment wrapText="1"/>
    </xf>
    <xf numFmtId="0" fontId="1" fillId="0" borderId="4" xfId="0" applyFont="1" applyBorder="1"/>
    <xf numFmtId="0" fontId="19" fillId="54" borderId="4" xfId="0" applyFont="1" applyFill="1" applyBorder="1" applyAlignment="1">
      <alignment wrapText="1"/>
    </xf>
    <xf numFmtId="0" fontId="0" fillId="0" borderId="0" xfId="0" applyAlignment="1">
      <alignment wrapText="1"/>
    </xf>
    <xf numFmtId="0" fontId="11" fillId="44" borderId="4" xfId="1" applyFont="1" applyFill="1" applyBorder="1" applyAlignment="1">
      <alignment horizontal="left" wrapText="1"/>
    </xf>
    <xf numFmtId="0" fontId="9" fillId="3" borderId="1" xfId="2" applyFont="1" applyFill="1" applyBorder="1" applyAlignment="1">
      <alignment vertical="center"/>
    </xf>
    <xf numFmtId="0" fontId="9" fillId="3" borderId="2" xfId="2" applyFont="1" applyFill="1" applyBorder="1" applyAlignment="1">
      <alignment vertical="center"/>
    </xf>
    <xf numFmtId="0" fontId="9" fillId="3" borderId="3" xfId="2" applyFont="1" applyFill="1" applyBorder="1" applyAlignment="1">
      <alignment vertical="center"/>
    </xf>
    <xf numFmtId="0" fontId="7" fillId="0" borderId="0" xfId="2" applyFont="1"/>
    <xf numFmtId="0" fontId="6" fillId="0" borderId="0" xfId="2" applyFont="1" applyAlignment="1">
      <alignment horizontal="center"/>
    </xf>
    <xf numFmtId="0" fontId="3" fillId="0" borderId="0" xfId="1" applyAlignment="1">
      <alignment horizontal="left"/>
    </xf>
    <xf numFmtId="0" fontId="9" fillId="3" borderId="1" xfId="1" applyFont="1" applyFill="1" applyBorder="1" applyAlignment="1">
      <alignment horizontal="left" vertical="center"/>
    </xf>
    <xf numFmtId="0" fontId="9" fillId="3" borderId="2" xfId="1" applyFont="1" applyFill="1" applyBorder="1" applyAlignment="1">
      <alignment horizontal="left" vertical="center"/>
    </xf>
    <xf numFmtId="0" fontId="9" fillId="3" borderId="3" xfId="1" applyFont="1" applyFill="1" applyBorder="1" applyAlignment="1">
      <alignment horizontal="left" vertical="center"/>
    </xf>
    <xf numFmtId="0" fontId="9" fillId="3" borderId="1" xfId="1" applyFont="1" applyFill="1" applyBorder="1" applyAlignment="1">
      <alignment vertical="center"/>
    </xf>
    <xf numFmtId="0" fontId="9" fillId="3" borderId="2" xfId="1" applyFont="1" applyFill="1" applyBorder="1" applyAlignment="1">
      <alignment vertical="center"/>
    </xf>
    <xf numFmtId="0" fontId="9" fillId="3" borderId="3" xfId="1" applyFont="1" applyFill="1" applyBorder="1" applyAlignment="1">
      <alignment vertical="center"/>
    </xf>
    <xf numFmtId="0" fontId="12" fillId="3" borderId="15" xfId="1" applyFont="1" applyFill="1" applyBorder="1" applyAlignment="1">
      <alignment horizontal="center" vertical="center" wrapText="1"/>
    </xf>
    <xf numFmtId="0" fontId="12" fillId="3" borderId="14" xfId="1" applyFont="1" applyFill="1" applyBorder="1" applyAlignment="1">
      <alignment horizontal="center" vertical="center" wrapText="1"/>
    </xf>
    <xf numFmtId="0" fontId="12" fillId="3" borderId="16" xfId="1" applyFont="1" applyFill="1" applyBorder="1" applyAlignment="1">
      <alignment horizontal="center" vertical="center" wrapText="1"/>
    </xf>
    <xf numFmtId="0" fontId="12" fillId="3" borderId="19" xfId="1" applyFont="1" applyFill="1" applyBorder="1" applyAlignment="1">
      <alignment horizontal="center" wrapText="1"/>
    </xf>
    <xf numFmtId="0" fontId="12" fillId="3" borderId="20" xfId="1" applyFont="1" applyFill="1" applyBorder="1" applyAlignment="1">
      <alignment horizontal="center" wrapText="1"/>
    </xf>
    <xf numFmtId="0" fontId="12" fillId="3" borderId="21" xfId="1" applyFont="1" applyFill="1" applyBorder="1" applyAlignment="1">
      <alignment horizontal="center" wrapText="1"/>
    </xf>
    <xf numFmtId="0" fontId="12" fillId="3" borderId="22" xfId="1" applyFont="1" applyFill="1" applyBorder="1" applyAlignment="1">
      <alignment wrapText="1"/>
    </xf>
    <xf numFmtId="0" fontId="18" fillId="3" borderId="11" xfId="1" applyFont="1" applyFill="1" applyBorder="1" applyAlignment="1">
      <alignment wrapText="1"/>
    </xf>
    <xf numFmtId="0" fontId="18" fillId="3" borderId="23" xfId="1" applyFont="1" applyFill="1" applyBorder="1" applyAlignment="1">
      <alignment wrapText="1"/>
    </xf>
    <xf numFmtId="0" fontId="0" fillId="0" borderId="24" xfId="0" applyBorder="1" applyAlignment="1">
      <alignment horizontal="center" wrapText="1"/>
    </xf>
    <xf numFmtId="0" fontId="0" fillId="0" borderId="18" xfId="0" applyBorder="1" applyAlignment="1">
      <alignment horizont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18" xfId="0" applyBorder="1" applyAlignment="1">
      <alignment horizontal="center" vertical="center" wrapText="1"/>
    </xf>
    <xf numFmtId="0" fontId="3" fillId="0" borderId="0" xfId="1" applyAlignment="1">
      <alignment vertical="center" wrapText="1"/>
    </xf>
    <xf numFmtId="0" fontId="3" fillId="0" borderId="0" xfId="1" applyAlignment="1">
      <alignment wrapText="1"/>
    </xf>
    <xf numFmtId="0" fontId="1" fillId="0" borderId="1" xfId="2" applyFont="1" applyBorder="1" applyAlignment="1">
      <alignment horizontal="center" vertical="center"/>
    </xf>
    <xf numFmtId="0" fontId="1" fillId="0" borderId="3" xfId="2" applyFont="1" applyBorder="1" applyAlignment="1">
      <alignment horizontal="center" vertical="center"/>
    </xf>
    <xf numFmtId="0" fontId="1" fillId="0" borderId="4" xfId="2" applyFont="1" applyBorder="1" applyAlignment="1">
      <alignment horizontal="center" vertical="center" wrapText="1"/>
    </xf>
    <xf numFmtId="0" fontId="1" fillId="0" borderId="4" xfId="2" applyFont="1" applyBorder="1" applyAlignment="1">
      <alignment horizontal="center" vertical="center"/>
    </xf>
  </cellXfs>
  <cellStyles count="8">
    <cellStyle name="Normal" xfId="0" builtinId="0"/>
    <cellStyle name="Normal 2" xfId="1" xr:uid="{00000000-0005-0000-0000-000001000000}"/>
    <cellStyle name="Normal 2 2" xfId="2" xr:uid="{00000000-0005-0000-0000-000002000000}"/>
    <cellStyle name="Normal 2 3" xfId="7" xr:uid="{00000000-0005-0000-0000-000003000000}"/>
    <cellStyle name="Normal 3" xfId="3" xr:uid="{00000000-0005-0000-0000-000004000000}"/>
    <cellStyle name="Normal 4" xfId="6" xr:uid="{00000000-0005-0000-0000-000005000000}"/>
    <cellStyle name="Percent 2" xfId="5" xr:uid="{00000000-0005-0000-0000-000006000000}"/>
    <cellStyle name="Percent 3" xfId="4" xr:uid="{00000000-0005-0000-0000-000007000000}"/>
  </cellStyles>
  <dxfs count="44">
    <dxf>
      <font>
        <color auto="1"/>
      </font>
      <fill>
        <patternFill>
          <bgColor rgb="FF71B12D"/>
        </patternFill>
      </fill>
    </dxf>
    <dxf>
      <font>
        <color auto="1"/>
      </font>
      <fill>
        <patternFill>
          <bgColor rgb="FFFFB540"/>
        </patternFill>
      </fill>
    </dxf>
    <dxf>
      <font>
        <color auto="1"/>
      </font>
      <fill>
        <patternFill>
          <bgColor rgb="FF3391AD"/>
        </patternFill>
      </fill>
    </dxf>
    <dxf>
      <font>
        <color auto="1"/>
      </font>
      <fill>
        <patternFill>
          <bgColor rgb="FFA24130"/>
        </patternFill>
      </fill>
    </dxf>
    <dxf>
      <font>
        <color auto="1"/>
      </font>
      <fill>
        <patternFill>
          <bgColor rgb="FFA24130"/>
        </patternFill>
      </fill>
    </dxf>
    <dxf>
      <font>
        <color auto="1"/>
      </font>
      <fill>
        <patternFill>
          <bgColor rgb="FF3391AD"/>
        </patternFill>
      </fill>
    </dxf>
    <dxf>
      <font>
        <color auto="1"/>
      </font>
      <fill>
        <patternFill>
          <bgColor rgb="FFFFB540"/>
        </patternFill>
      </fill>
    </dxf>
    <dxf>
      <font>
        <b val="0"/>
        <i/>
        <color auto="1"/>
      </font>
      <fill>
        <patternFill>
          <bgColor rgb="FF71B12D"/>
        </patternFill>
      </fill>
    </dxf>
    <dxf>
      <font>
        <b/>
        <i val="0"/>
        <color theme="1"/>
      </font>
      <fill>
        <patternFill>
          <bgColor theme="0" tint="-0.14996795556505021"/>
        </patternFill>
      </fill>
    </dxf>
    <dxf>
      <font>
        <b/>
        <i val="0"/>
        <color theme="1"/>
      </font>
      <fill>
        <patternFill>
          <bgColor rgb="FFFFFF00"/>
        </patternFill>
      </fill>
    </dxf>
    <dxf>
      <font>
        <b/>
        <i val="0"/>
        <color theme="0"/>
      </font>
      <fill>
        <patternFill>
          <bgColor rgb="FFE26B0A"/>
        </patternFill>
      </fill>
    </dxf>
    <dxf>
      <font>
        <b/>
        <i val="0"/>
        <color theme="0"/>
      </font>
      <fill>
        <patternFill>
          <bgColor rgb="FFC00000"/>
        </patternFill>
      </fill>
    </dxf>
    <dxf>
      <font>
        <b/>
        <i val="0"/>
        <color theme="1"/>
      </font>
      <fill>
        <patternFill>
          <bgColor theme="0" tint="-0.14996795556505021"/>
        </patternFill>
      </fill>
    </dxf>
    <dxf>
      <font>
        <b/>
        <i val="0"/>
        <color theme="1"/>
      </font>
      <fill>
        <patternFill>
          <bgColor rgb="FFFFFF00"/>
        </patternFill>
      </fill>
    </dxf>
    <dxf>
      <font>
        <b/>
        <i val="0"/>
        <color theme="0"/>
      </font>
      <fill>
        <patternFill>
          <bgColor rgb="FFE26B0A"/>
        </patternFill>
      </fill>
    </dxf>
    <dxf>
      <font>
        <b/>
        <i val="0"/>
        <color theme="0"/>
      </font>
      <fill>
        <patternFill>
          <bgColor rgb="FFC00000"/>
        </patternFill>
      </fill>
    </dxf>
    <dxf>
      <font>
        <b/>
        <i val="0"/>
        <color theme="1"/>
      </font>
      <fill>
        <patternFill>
          <bgColor theme="0"/>
        </patternFill>
      </fill>
    </dxf>
    <dxf>
      <font>
        <b/>
        <i val="0"/>
        <color theme="1"/>
      </font>
      <fill>
        <patternFill>
          <bgColor theme="0"/>
        </patternFill>
      </fill>
    </dxf>
    <dxf>
      <numFmt numFmtId="0" formatCode="General"/>
      <fill>
        <patternFill patternType="solid">
          <fgColor indexed="64"/>
          <bgColor theme="7"/>
        </patternFill>
      </fill>
      <border diagonalUp="0" diagonalDown="0">
        <left style="thin">
          <color indexed="64"/>
        </left>
        <right style="thin">
          <color indexed="64"/>
        </right>
        <top style="thin">
          <color indexed="64"/>
        </top>
        <bottom style="thin">
          <color indexed="64"/>
        </bottom>
        <horizontal style="thin">
          <color indexed="64"/>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horizontal style="thin">
          <color indexed="64"/>
        </horizontal>
      </border>
    </dxf>
    <dxf>
      <font>
        <b/>
        <sz val="12"/>
        <color auto="1"/>
        <name val="Arial"/>
        <family val="2"/>
        <scheme val="none"/>
      </font>
      <fill>
        <patternFill patternType="solid">
          <fgColor indexed="64"/>
          <bgColor rgb="FFCED99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sz val="9"/>
        <color auto="1"/>
        <name val="Arial"/>
        <family val="2"/>
        <scheme val="none"/>
      </font>
      <fill>
        <patternFill patternType="solid">
          <fgColor indexed="64"/>
          <bgColor rgb="FFCED99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ill>
        <patternFill patternType="solid">
          <fgColor indexed="64"/>
          <bgColor theme="0"/>
        </patternFill>
      </fill>
      <border diagonalUp="0" diagonalDown="0">
        <left style="medium">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bottom"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fgColor indexed="64"/>
          <bgColor theme="0"/>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auto="1"/>
        <name val="Arial"/>
        <family val="2"/>
        <scheme val="none"/>
      </font>
      <fill>
        <patternFill patternType="solid">
          <fgColor indexed="64"/>
          <bgColor rgb="FFCED99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outline val="0"/>
        <shadow val="0"/>
        <u val="none"/>
        <vertAlign val="baseline"/>
        <sz val="9"/>
        <color auto="1"/>
        <name val="Arial"/>
        <family val="2"/>
        <scheme val="none"/>
      </font>
      <fill>
        <patternFill patternType="solid">
          <fgColor indexed="64"/>
          <bgColor rgb="FFCED99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bottom" textRotation="0" wrapText="1" indent="0" justifyLastLine="0" shrinkToFit="0" readingOrder="0"/>
      <border diagonalUp="0" diagonalDown="0">
        <left/>
        <right/>
        <top style="thin">
          <color indexed="64"/>
        </top>
        <bottom style="thin">
          <color indexed="64"/>
        </bottom>
        <vertical/>
        <horizontal/>
      </border>
    </dxf>
    <dxf>
      <fill>
        <patternFill patternType="solid">
          <fgColor indexed="64"/>
          <bgColor theme="0"/>
        </patternFill>
      </fill>
      <alignment horizontal="general" vertical="bottom" textRotation="0" wrapText="1" indent="0" justifyLastLine="0" shrinkToFit="0" readingOrder="0"/>
      <border diagonalUp="0" diagonalDown="0">
        <left/>
        <right/>
        <top style="thin">
          <color indexed="64"/>
        </top>
        <bottom style="thin">
          <color indexed="64"/>
        </bottom>
        <vertical/>
        <horizontal/>
      </border>
    </dxf>
    <dxf>
      <fill>
        <patternFill patternType="solid">
          <fgColor indexed="64"/>
          <bgColor theme="0"/>
        </patternFill>
      </fill>
      <alignment horizontal="general" vertical="bottom" textRotation="0" wrapText="1" indent="0" justifyLastLine="0" shrinkToFit="0" readingOrder="0"/>
      <border diagonalUp="0" diagonalDown="0">
        <left/>
        <right/>
        <top style="thin">
          <color indexed="64"/>
        </top>
        <bottom style="thin">
          <color indexed="64"/>
        </bottom>
        <vertical/>
        <horizontal/>
      </border>
    </dxf>
    <dxf>
      <fill>
        <patternFill>
          <fgColor indexed="64"/>
          <bgColor theme="0"/>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center"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outline="0">
        <top style="thin">
          <color rgb="FF000000"/>
        </top>
      </border>
    </dxf>
    <dxf>
      <border outline="0">
        <top style="medium">
          <color rgb="FF000000"/>
        </top>
        <bottom style="thin">
          <color rgb="FF000000"/>
        </bottom>
      </border>
    </dxf>
    <dxf>
      <fill>
        <patternFill>
          <fgColor rgb="FF000000"/>
          <bgColor rgb="FFFFFFFF"/>
        </patternFill>
      </fill>
    </dxf>
    <dxf>
      <border>
        <bottom style="thin">
          <color rgb="FF000000"/>
        </bottom>
      </border>
    </dxf>
    <dxf>
      <font>
        <b/>
        <i val="0"/>
        <strike val="0"/>
        <condense val="0"/>
        <extend val="0"/>
        <outline val="0"/>
        <shadow val="0"/>
        <u val="none"/>
        <vertAlign val="baseline"/>
        <sz val="12"/>
        <color theme="0"/>
        <name val="Arial"/>
        <family val="2"/>
        <scheme val="none"/>
      </font>
      <fill>
        <patternFill patternType="solid">
          <fgColor indexed="64"/>
          <bgColor theme="4"/>
        </patternFill>
      </fill>
      <alignment horizontal="general" vertical="bottom" textRotation="0" wrapText="1" indent="0" justifyLastLine="0" shrinkToFit="0" readingOrder="0"/>
      <border diagonalUp="0" diagonalDown="0">
        <left style="thin">
          <color indexed="64"/>
        </left>
        <right style="thin">
          <color indexed="64"/>
        </right>
        <bottom/>
        <vertical style="thin">
          <color indexed="64"/>
        </vertical>
        <horizontal/>
      </border>
    </dxf>
  </dxfs>
  <tableStyles count="0" defaultTableStyle="TableStyleMedium9" defaultPivotStyle="PivotStyleLight16"/>
  <colors>
    <mruColors>
      <color rgb="FFCED990"/>
      <color rgb="FFE26B0A"/>
      <color rgb="FFB88E08"/>
      <color rgb="FF29475F"/>
      <color rgb="FFCADAE8"/>
      <color rgb="FFB6BFC6"/>
      <color rgb="FFC1D2DF"/>
      <color rgb="FFE3C77E"/>
      <color rgb="FFC7978E"/>
      <color rgb="FFA0C3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Sample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7.0672962996868621E-2"/>
          <c:y val="0.12592736680989117"/>
          <c:w val="0.65176203860235782"/>
          <c:h val="0.78963860340612146"/>
        </c:manualLayout>
      </c:layout>
      <c:scatterChart>
        <c:scatterStyle val="lineMarker"/>
        <c:varyColors val="0"/>
        <c:ser>
          <c:idx val="0"/>
          <c:order val="0"/>
          <c:tx>
            <c:v>TOP RIGHT</c:v>
          </c:tx>
          <c:spPr>
            <a:ln w="25400" cap="rnd">
              <a:noFill/>
              <a:round/>
            </a:ln>
            <a:effectLst/>
          </c:spPr>
          <c:marker>
            <c:symbol val="circle"/>
            <c:size val="6"/>
            <c:spPr>
              <a:solidFill>
                <a:schemeClr val="accent6">
                  <a:lumMod val="75000"/>
                </a:schemeClr>
              </a:solidFill>
              <a:ln w="9525">
                <a:noFill/>
              </a:ln>
              <a:effectLst/>
            </c:spPr>
          </c:marker>
          <c:dLbls>
            <c:dLbl>
              <c:idx val="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9E1-46F7-9C3A-F932C791F9BC}"/>
                </c:ext>
              </c:extLst>
            </c:dLbl>
            <c:dLbl>
              <c:idx val="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9E1-46F7-9C3A-F932C791F9BC}"/>
                </c:ext>
              </c:extLst>
            </c:dLbl>
            <c:dLbl>
              <c:idx val="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9E1-46F7-9C3A-F932C791F9BC}"/>
                </c:ext>
              </c:extLst>
            </c:dLbl>
            <c:dLbl>
              <c:idx val="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9E1-46F7-9C3A-F932C791F9BC}"/>
                </c:ext>
              </c:extLst>
            </c:dLbl>
            <c:dLbl>
              <c:idx val="4"/>
              <c:tx>
                <c:rich>
                  <a:bodyPr/>
                  <a:lstStyle/>
                  <a:p>
                    <a:r>
                      <a:rPr lang="en-US"/>
                      <a:t>#5</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9E1-46F7-9C3A-F932C791F9BC}"/>
                </c:ext>
              </c:extLst>
            </c:dLbl>
            <c:dLbl>
              <c:idx val="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9E1-46F7-9C3A-F932C791F9BC}"/>
                </c:ext>
              </c:extLst>
            </c:dLbl>
            <c:dLbl>
              <c:idx val="6"/>
              <c:tx>
                <c:rich>
                  <a:bodyPr/>
                  <a:lstStyle/>
                  <a:p>
                    <a:r>
                      <a:rPr lang="en-US"/>
                      <a:t>#7</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9E1-46F7-9C3A-F932C791F9BC}"/>
                </c:ext>
              </c:extLst>
            </c:dLbl>
            <c:dLbl>
              <c:idx val="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9E1-46F7-9C3A-F932C791F9BC}"/>
                </c:ext>
              </c:extLst>
            </c:dLbl>
            <c:dLbl>
              <c:idx val="8"/>
              <c:tx>
                <c:rich>
                  <a:bodyPr/>
                  <a:lstStyle/>
                  <a:p>
                    <a:r>
                      <a:rPr lang="en-US"/>
                      <a:t>#9</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9E1-46F7-9C3A-F932C791F9BC}"/>
                </c:ext>
              </c:extLst>
            </c:dLbl>
            <c:dLbl>
              <c:idx val="9"/>
              <c:tx>
                <c:rich>
                  <a:bodyPr/>
                  <a:lstStyle/>
                  <a:p>
                    <a:r>
                      <a:rPr lang="en-US"/>
                      <a:t>#10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9E1-46F7-9C3A-F932C791F9BC}"/>
                </c:ext>
              </c:extLst>
            </c:dLbl>
            <c:dLbl>
              <c:idx val="1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9E1-46F7-9C3A-F932C791F9BC}"/>
                </c:ext>
              </c:extLst>
            </c:dLbl>
            <c:dLbl>
              <c:idx val="1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9E1-46F7-9C3A-F932C791F9BC}"/>
                </c:ext>
              </c:extLst>
            </c:dLbl>
            <c:dLbl>
              <c:idx val="1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9E1-46F7-9C3A-F932C791F9BC}"/>
                </c:ext>
              </c:extLst>
            </c:dLbl>
            <c:dLbl>
              <c:idx val="13"/>
              <c:tx>
                <c:rich>
                  <a:bodyPr/>
                  <a:lstStyle/>
                  <a:p>
                    <a:r>
                      <a:rPr lang="en-US"/>
                      <a:t>#14</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9E1-46F7-9C3A-F932C791F9BC}"/>
                </c:ext>
              </c:extLst>
            </c:dLbl>
            <c:dLbl>
              <c:idx val="1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9E1-46F7-9C3A-F932C791F9BC}"/>
                </c:ext>
              </c:extLst>
            </c:dLbl>
            <c:dLbl>
              <c:idx val="1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9E1-46F7-9C3A-F932C791F9BC}"/>
                </c:ext>
              </c:extLst>
            </c:dLbl>
            <c:dLbl>
              <c:idx val="1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9E1-46F7-9C3A-F932C791F9BC}"/>
                </c:ext>
              </c:extLst>
            </c:dLbl>
            <c:dLbl>
              <c:idx val="1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9E1-46F7-9C3A-F932C791F9BC}"/>
                </c:ext>
              </c:extLst>
            </c:dLbl>
            <c:dLbl>
              <c:idx val="1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9E1-46F7-9C3A-F932C791F9BC}"/>
                </c:ext>
              </c:extLst>
            </c:dLbl>
            <c:dLbl>
              <c:idx val="19"/>
              <c:tx>
                <c:rich>
                  <a:bodyPr/>
                  <a:lstStyle/>
                  <a:p>
                    <a:r>
                      <a:rPr lang="en-US"/>
                      <a:t>#20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99E1-46F7-9C3A-F932C791F9BC}"/>
                </c:ext>
              </c:extLst>
            </c:dLbl>
            <c:dLbl>
              <c:idx val="2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99E1-46F7-9C3A-F932C791F9BC}"/>
                </c:ext>
              </c:extLst>
            </c:dLbl>
            <c:dLbl>
              <c:idx val="21"/>
              <c:tx>
                <c:rich>
                  <a:bodyPr/>
                  <a:lstStyle/>
                  <a:p>
                    <a:r>
                      <a:rPr lang="en-US"/>
                      <a:t>#22</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99E1-46F7-9C3A-F932C791F9BC}"/>
                </c:ext>
              </c:extLst>
            </c:dLbl>
            <c:dLbl>
              <c:idx val="2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99E1-46F7-9C3A-F932C791F9BC}"/>
                </c:ext>
              </c:extLst>
            </c:dLbl>
            <c:dLbl>
              <c:idx val="2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99E1-46F7-9C3A-F932C791F9BC}"/>
                </c:ext>
              </c:extLst>
            </c:dLbl>
            <c:dLbl>
              <c:idx val="24"/>
              <c:tx>
                <c:rich>
                  <a:bodyPr/>
                  <a:lstStyle/>
                  <a:p>
                    <a:r>
                      <a:rPr lang="en-US"/>
                      <a:t>#25</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99E1-46F7-9C3A-F932C791F9BC}"/>
                </c:ext>
              </c:extLst>
            </c:dLbl>
            <c:dLbl>
              <c:idx val="25"/>
              <c:tx>
                <c:rich>
                  <a:bodyPr/>
                  <a:lstStyle/>
                  <a:p>
                    <a:r>
                      <a:rPr lang="en-US"/>
                      <a:t>#26</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99E1-46F7-9C3A-F932C791F9BC}"/>
                </c:ext>
              </c:extLst>
            </c:dLbl>
            <c:dLbl>
              <c:idx val="2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99E1-46F7-9C3A-F932C791F9BC}"/>
                </c:ext>
              </c:extLst>
            </c:dLbl>
            <c:dLbl>
              <c:idx val="27"/>
              <c:tx>
                <c:rich>
                  <a:bodyPr/>
                  <a:lstStyle/>
                  <a:p>
                    <a:r>
                      <a:rPr lang="en-US"/>
                      <a:t>#28</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99E1-46F7-9C3A-F932C791F9BC}"/>
                </c:ext>
              </c:extLst>
            </c:dLbl>
            <c:dLbl>
              <c:idx val="2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99E1-46F7-9C3A-F932C791F9BC}"/>
                </c:ext>
              </c:extLst>
            </c:dLbl>
            <c:dLbl>
              <c:idx val="29"/>
              <c:tx>
                <c:rich>
                  <a:bodyPr/>
                  <a:lstStyle/>
                  <a:p>
                    <a:r>
                      <a:rPr lang="en-US"/>
                      <a:t>#30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99E1-46F7-9C3A-F932C791F9BC}"/>
                </c:ext>
              </c:extLst>
            </c:dLbl>
            <c:dLbl>
              <c:idx val="3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99E1-46F7-9C3A-F932C791F9BC}"/>
                </c:ext>
              </c:extLst>
            </c:dLbl>
            <c:dLbl>
              <c:idx val="3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99E1-46F7-9C3A-F932C791F9BC}"/>
                </c:ext>
              </c:extLst>
            </c:dLbl>
            <c:dLbl>
              <c:idx val="3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99E1-46F7-9C3A-F932C791F9BC}"/>
                </c:ext>
              </c:extLst>
            </c:dLbl>
            <c:dLbl>
              <c:idx val="3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99E1-46F7-9C3A-F932C791F9BC}"/>
                </c:ext>
              </c:extLst>
            </c:dLbl>
            <c:dLbl>
              <c:idx val="3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99E1-46F7-9C3A-F932C791F9BC}"/>
                </c:ext>
              </c:extLst>
            </c:dLbl>
            <c:dLbl>
              <c:idx val="3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99E1-46F7-9C3A-F932C791F9BC}"/>
                </c:ext>
              </c:extLst>
            </c:dLbl>
            <c:dLbl>
              <c:idx val="3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99E1-46F7-9C3A-F932C791F9BC}"/>
                </c:ext>
              </c:extLst>
            </c:dLbl>
            <c:dLbl>
              <c:idx val="3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99E1-46F7-9C3A-F932C791F9BC}"/>
                </c:ext>
              </c:extLst>
            </c:dLbl>
            <c:dLbl>
              <c:idx val="3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99E1-46F7-9C3A-F932C791F9BC}"/>
                </c:ext>
              </c:extLst>
            </c:dLbl>
            <c:dLbl>
              <c:idx val="3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99E1-46F7-9C3A-F932C791F9BC}"/>
                </c:ext>
              </c:extLst>
            </c:dLbl>
            <c:dLbl>
              <c:idx val="40"/>
              <c:tx>
                <c:rich>
                  <a:bodyPr/>
                  <a:lstStyle/>
                  <a:p>
                    <a:r>
                      <a:rPr lang="en-US"/>
                      <a:t>#41</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99E1-46F7-9C3A-F932C791F9BC}"/>
                </c:ext>
              </c:extLst>
            </c:dLbl>
            <c:dLbl>
              <c:idx val="4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99E1-46F7-9C3A-F932C791F9BC}"/>
                </c:ext>
              </c:extLst>
            </c:dLbl>
            <c:dLbl>
              <c:idx val="4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99E1-46F7-9C3A-F932C791F9BC}"/>
                </c:ext>
              </c:extLst>
            </c:dLbl>
            <c:dLbl>
              <c:idx val="4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99E1-46F7-9C3A-F932C791F9BC}"/>
                </c:ext>
              </c:extLst>
            </c:dLbl>
            <c:dLbl>
              <c:idx val="4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99E1-46F7-9C3A-F932C791F9BC}"/>
                </c:ext>
              </c:extLst>
            </c:dLbl>
            <c:dLbl>
              <c:idx val="4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99E1-46F7-9C3A-F932C791F9BC}"/>
                </c:ext>
              </c:extLst>
            </c:dLbl>
            <c:dLbl>
              <c:idx val="4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99E1-46F7-9C3A-F932C791F9BC}"/>
                </c:ext>
              </c:extLst>
            </c:dLbl>
            <c:dLbl>
              <c:idx val="4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99E1-46F7-9C3A-F932C791F9BC}"/>
                </c:ext>
              </c:extLst>
            </c:dLbl>
            <c:dLbl>
              <c:idx val="4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99E1-46F7-9C3A-F932C791F9BC}"/>
                </c:ext>
              </c:extLst>
            </c:dLbl>
            <c:dLbl>
              <c:idx val="49"/>
              <c:tx>
                <c:rich>
                  <a:bodyPr/>
                  <a:lstStyle/>
                  <a:p>
                    <a:r>
                      <a:rPr lang="en-US"/>
                      <a:t>#50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99E1-46F7-9C3A-F932C791F9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'2x2 Grid Output'!$H$18:$H$67</c:f>
              <c:numCache>
                <c:formatCode>General</c:formatCode>
                <c:ptCount val="50"/>
                <c:pt idx="0">
                  <c:v>#N/A</c:v>
                </c:pt>
                <c:pt idx="1">
                  <c:v>#N/A</c:v>
                </c:pt>
                <c:pt idx="2">
                  <c:v>#N/A</c:v>
                </c:pt>
                <c:pt idx="3">
                  <c:v>#N/A</c:v>
                </c:pt>
                <c:pt idx="4">
                  <c:v>5</c:v>
                </c:pt>
                <c:pt idx="5">
                  <c:v>#N/A</c:v>
                </c:pt>
                <c:pt idx="6">
                  <c:v>7</c:v>
                </c:pt>
                <c:pt idx="7">
                  <c:v>#N/A</c:v>
                </c:pt>
                <c:pt idx="8">
                  <c:v>6</c:v>
                </c:pt>
                <c:pt idx="9">
                  <c:v>4</c:v>
                </c:pt>
                <c:pt idx="10">
                  <c:v>#N/A</c:v>
                </c:pt>
                <c:pt idx="11">
                  <c:v>#N/A</c:v>
                </c:pt>
                <c:pt idx="12">
                  <c:v>#N/A</c:v>
                </c:pt>
                <c:pt idx="13">
                  <c:v>7</c:v>
                </c:pt>
                <c:pt idx="14">
                  <c:v>#N/A</c:v>
                </c:pt>
                <c:pt idx="15">
                  <c:v>#N/A</c:v>
                </c:pt>
                <c:pt idx="16">
                  <c:v>#N/A</c:v>
                </c:pt>
                <c:pt idx="17">
                  <c:v>#N/A</c:v>
                </c:pt>
                <c:pt idx="18">
                  <c:v>#N/A</c:v>
                </c:pt>
                <c:pt idx="19">
                  <c:v>6</c:v>
                </c:pt>
                <c:pt idx="20">
                  <c:v>#N/A</c:v>
                </c:pt>
                <c:pt idx="21">
                  <c:v>8</c:v>
                </c:pt>
                <c:pt idx="22">
                  <c:v>#N/A</c:v>
                </c:pt>
                <c:pt idx="23">
                  <c:v>#N/A</c:v>
                </c:pt>
                <c:pt idx="24">
                  <c:v>7</c:v>
                </c:pt>
                <c:pt idx="25">
                  <c:v>5</c:v>
                </c:pt>
                <c:pt idx="26">
                  <c:v>#N/A</c:v>
                </c:pt>
                <c:pt idx="27">
                  <c:v>7</c:v>
                </c:pt>
                <c:pt idx="28">
                  <c:v>#N/A</c:v>
                </c:pt>
                <c:pt idx="29">
                  <c:v>8</c:v>
                </c:pt>
                <c:pt idx="30">
                  <c:v>#N/A</c:v>
                </c:pt>
                <c:pt idx="31">
                  <c:v>#N/A</c:v>
                </c:pt>
                <c:pt idx="32">
                  <c:v>#N/A</c:v>
                </c:pt>
                <c:pt idx="33">
                  <c:v>#N/A</c:v>
                </c:pt>
                <c:pt idx="34">
                  <c:v>#N/A</c:v>
                </c:pt>
                <c:pt idx="35">
                  <c:v>#N/A</c:v>
                </c:pt>
                <c:pt idx="36">
                  <c:v>#N/A</c:v>
                </c:pt>
                <c:pt idx="37">
                  <c:v>#N/A</c:v>
                </c:pt>
                <c:pt idx="38">
                  <c:v>#N/A</c:v>
                </c:pt>
                <c:pt idx="39">
                  <c:v>#N/A</c:v>
                </c:pt>
                <c:pt idx="40">
                  <c:v>8</c:v>
                </c:pt>
                <c:pt idx="41">
                  <c:v>#N/A</c:v>
                </c:pt>
                <c:pt idx="42">
                  <c:v>#N/A</c:v>
                </c:pt>
                <c:pt idx="43">
                  <c:v>#N/A</c:v>
                </c:pt>
                <c:pt idx="44">
                  <c:v>#N/A</c:v>
                </c:pt>
                <c:pt idx="45">
                  <c:v>#N/A</c:v>
                </c:pt>
                <c:pt idx="46">
                  <c:v>#N/A</c:v>
                </c:pt>
                <c:pt idx="47">
                  <c:v>#N/A</c:v>
                </c:pt>
                <c:pt idx="48">
                  <c:v>#N/A</c:v>
                </c:pt>
                <c:pt idx="49">
                  <c:v>4</c:v>
                </c:pt>
              </c:numCache>
            </c:numRef>
          </c:xVal>
          <c:yVal>
            <c:numRef>
              <c:f>'2x2 Grid Output'!$I$18:$I$67</c:f>
              <c:numCache>
                <c:formatCode>General</c:formatCode>
                <c:ptCount val="50"/>
                <c:pt idx="0">
                  <c:v>#N/A</c:v>
                </c:pt>
                <c:pt idx="1">
                  <c:v>#N/A</c:v>
                </c:pt>
                <c:pt idx="2">
                  <c:v>#N/A</c:v>
                </c:pt>
                <c:pt idx="3">
                  <c:v>#N/A</c:v>
                </c:pt>
                <c:pt idx="4">
                  <c:v>4</c:v>
                </c:pt>
                <c:pt idx="5">
                  <c:v>#N/A</c:v>
                </c:pt>
                <c:pt idx="6">
                  <c:v>4</c:v>
                </c:pt>
                <c:pt idx="7">
                  <c:v>#N/A</c:v>
                </c:pt>
                <c:pt idx="8">
                  <c:v>4</c:v>
                </c:pt>
                <c:pt idx="9">
                  <c:v>3</c:v>
                </c:pt>
                <c:pt idx="10">
                  <c:v>#N/A</c:v>
                </c:pt>
                <c:pt idx="11">
                  <c:v>#N/A</c:v>
                </c:pt>
                <c:pt idx="12">
                  <c:v>#N/A</c:v>
                </c:pt>
                <c:pt idx="13">
                  <c:v>6</c:v>
                </c:pt>
                <c:pt idx="14">
                  <c:v>#N/A</c:v>
                </c:pt>
                <c:pt idx="15">
                  <c:v>#N/A</c:v>
                </c:pt>
                <c:pt idx="16">
                  <c:v>#N/A</c:v>
                </c:pt>
                <c:pt idx="17">
                  <c:v>#N/A</c:v>
                </c:pt>
                <c:pt idx="18">
                  <c:v>#N/A</c:v>
                </c:pt>
                <c:pt idx="19">
                  <c:v>4</c:v>
                </c:pt>
                <c:pt idx="20">
                  <c:v>#N/A</c:v>
                </c:pt>
                <c:pt idx="21">
                  <c:v>3</c:v>
                </c:pt>
                <c:pt idx="22">
                  <c:v>#N/A</c:v>
                </c:pt>
                <c:pt idx="23">
                  <c:v>#N/A</c:v>
                </c:pt>
                <c:pt idx="24">
                  <c:v>5</c:v>
                </c:pt>
                <c:pt idx="25">
                  <c:v>3</c:v>
                </c:pt>
                <c:pt idx="26">
                  <c:v>#N/A</c:v>
                </c:pt>
                <c:pt idx="27">
                  <c:v>6</c:v>
                </c:pt>
                <c:pt idx="28">
                  <c:v>#N/A</c:v>
                </c:pt>
                <c:pt idx="29">
                  <c:v>3</c:v>
                </c:pt>
                <c:pt idx="30">
                  <c:v>#N/A</c:v>
                </c:pt>
                <c:pt idx="31">
                  <c:v>#N/A</c:v>
                </c:pt>
                <c:pt idx="32">
                  <c:v>#N/A</c:v>
                </c:pt>
                <c:pt idx="33">
                  <c:v>#N/A</c:v>
                </c:pt>
                <c:pt idx="34">
                  <c:v>#N/A</c:v>
                </c:pt>
                <c:pt idx="35">
                  <c:v>#N/A</c:v>
                </c:pt>
                <c:pt idx="36">
                  <c:v>#N/A</c:v>
                </c:pt>
                <c:pt idx="37">
                  <c:v>#N/A</c:v>
                </c:pt>
                <c:pt idx="38">
                  <c:v>#N/A</c:v>
                </c:pt>
                <c:pt idx="39">
                  <c:v>#N/A</c:v>
                </c:pt>
                <c:pt idx="40">
                  <c:v>6</c:v>
                </c:pt>
                <c:pt idx="41">
                  <c:v>#N/A</c:v>
                </c:pt>
                <c:pt idx="42">
                  <c:v>#N/A</c:v>
                </c:pt>
                <c:pt idx="43">
                  <c:v>#N/A</c:v>
                </c:pt>
                <c:pt idx="44">
                  <c:v>#N/A</c:v>
                </c:pt>
                <c:pt idx="45">
                  <c:v>#N/A</c:v>
                </c:pt>
                <c:pt idx="46">
                  <c:v>#N/A</c:v>
                </c:pt>
                <c:pt idx="47">
                  <c:v>#N/A</c:v>
                </c:pt>
                <c:pt idx="48">
                  <c:v>#N/A</c:v>
                </c:pt>
                <c:pt idx="49">
                  <c:v>4</c:v>
                </c:pt>
              </c:numCache>
            </c:numRef>
          </c:yVal>
          <c:smooth val="0"/>
          <c:extLst>
            <c:ext xmlns:c16="http://schemas.microsoft.com/office/drawing/2014/chart" uri="{C3380CC4-5D6E-409C-BE32-E72D297353CC}">
              <c16:uniqueId val="{00000032-99E1-46F7-9C3A-F932C791F9BC}"/>
            </c:ext>
          </c:extLst>
        </c:ser>
        <c:ser>
          <c:idx val="1"/>
          <c:order val="1"/>
          <c:tx>
            <c:v>BOTTOM RIGHT</c:v>
          </c:tx>
          <c:spPr>
            <a:ln w="25400" cap="rnd">
              <a:noFill/>
              <a:round/>
            </a:ln>
            <a:effectLst/>
          </c:spPr>
          <c:marker>
            <c:symbol val="circle"/>
            <c:size val="5"/>
            <c:spPr>
              <a:solidFill>
                <a:schemeClr val="accent4">
                  <a:lumMod val="75000"/>
                </a:schemeClr>
              </a:solidFill>
              <a:ln w="9525">
                <a:noFill/>
              </a:ln>
              <a:effectLst/>
            </c:spPr>
          </c:marker>
          <c:dLbls>
            <c:dLbl>
              <c:idx val="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99E1-46F7-9C3A-F932C791F9BC}"/>
                </c:ext>
              </c:extLst>
            </c:dLbl>
            <c:dLbl>
              <c:idx val="1"/>
              <c:tx>
                <c:rich>
                  <a:bodyPr/>
                  <a:lstStyle/>
                  <a:p>
                    <a:r>
                      <a:rPr lang="en-US"/>
                      <a:t>#2</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99E1-46F7-9C3A-F932C791F9BC}"/>
                </c:ext>
              </c:extLst>
            </c:dLbl>
            <c:dLbl>
              <c:idx val="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99E1-46F7-9C3A-F932C791F9BC}"/>
                </c:ext>
              </c:extLst>
            </c:dLbl>
            <c:dLbl>
              <c:idx val="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99E1-46F7-9C3A-F932C791F9BC}"/>
                </c:ext>
              </c:extLst>
            </c:dLbl>
            <c:dLbl>
              <c:idx val="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99E1-46F7-9C3A-F932C791F9BC}"/>
                </c:ext>
              </c:extLst>
            </c:dLbl>
            <c:dLbl>
              <c:idx val="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99E1-46F7-9C3A-F932C791F9BC}"/>
                </c:ext>
              </c:extLst>
            </c:dLbl>
            <c:dLbl>
              <c:idx val="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99E1-46F7-9C3A-F932C791F9BC}"/>
                </c:ext>
              </c:extLst>
            </c:dLbl>
            <c:dLbl>
              <c:idx val="7"/>
              <c:tx>
                <c:rich>
                  <a:bodyPr/>
                  <a:lstStyle/>
                  <a:p>
                    <a:r>
                      <a:rPr lang="en-US"/>
                      <a:t>#8</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99E1-46F7-9C3A-F932C791F9BC}"/>
                </c:ext>
              </c:extLst>
            </c:dLbl>
            <c:dLbl>
              <c:idx val="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99E1-46F7-9C3A-F932C791F9BC}"/>
                </c:ext>
              </c:extLst>
            </c:dLbl>
            <c:dLbl>
              <c:idx val="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99E1-46F7-9C3A-F932C791F9BC}"/>
                </c:ext>
              </c:extLst>
            </c:dLbl>
            <c:dLbl>
              <c:idx val="1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99E1-46F7-9C3A-F932C791F9BC}"/>
                </c:ext>
              </c:extLst>
            </c:dLbl>
            <c:dLbl>
              <c:idx val="1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99E1-46F7-9C3A-F932C791F9BC}"/>
                </c:ext>
              </c:extLst>
            </c:dLbl>
            <c:dLbl>
              <c:idx val="1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99E1-46F7-9C3A-F932C791F9BC}"/>
                </c:ext>
              </c:extLst>
            </c:dLbl>
            <c:dLbl>
              <c:idx val="1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99E1-46F7-9C3A-F932C791F9BC}"/>
                </c:ext>
              </c:extLst>
            </c:dLbl>
            <c:dLbl>
              <c:idx val="1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99E1-46F7-9C3A-F932C791F9BC}"/>
                </c:ext>
              </c:extLst>
            </c:dLbl>
            <c:dLbl>
              <c:idx val="15"/>
              <c:tx>
                <c:rich>
                  <a:bodyPr/>
                  <a:lstStyle/>
                  <a:p>
                    <a:r>
                      <a:rPr lang="en-US"/>
                      <a:t>#16</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99E1-46F7-9C3A-F932C791F9BC}"/>
                </c:ext>
              </c:extLst>
            </c:dLbl>
            <c:dLbl>
              <c:idx val="1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99E1-46F7-9C3A-F932C791F9BC}"/>
                </c:ext>
              </c:extLst>
            </c:dLbl>
            <c:dLbl>
              <c:idx val="1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99E1-46F7-9C3A-F932C791F9BC}"/>
                </c:ext>
              </c:extLst>
            </c:dLbl>
            <c:dLbl>
              <c:idx val="18"/>
              <c:tx>
                <c:rich>
                  <a:bodyPr/>
                  <a:lstStyle/>
                  <a:p>
                    <a:r>
                      <a:rPr lang="en-US"/>
                      <a:t>#19</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99E1-46F7-9C3A-F932C791F9BC}"/>
                </c:ext>
              </c:extLst>
            </c:dLbl>
            <c:dLbl>
              <c:idx val="1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99E1-46F7-9C3A-F932C791F9BC}"/>
                </c:ext>
              </c:extLst>
            </c:dLbl>
            <c:dLbl>
              <c:idx val="20"/>
              <c:tx>
                <c:rich>
                  <a:bodyPr/>
                  <a:lstStyle/>
                  <a:p>
                    <a:r>
                      <a:rPr lang="en-US"/>
                      <a:t>#21</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99E1-46F7-9C3A-F932C791F9BC}"/>
                </c:ext>
              </c:extLst>
            </c:dLbl>
            <c:dLbl>
              <c:idx val="2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99E1-46F7-9C3A-F932C791F9BC}"/>
                </c:ext>
              </c:extLst>
            </c:dLbl>
            <c:dLbl>
              <c:idx val="22"/>
              <c:tx>
                <c:rich>
                  <a:bodyPr/>
                  <a:lstStyle/>
                  <a:p>
                    <a:r>
                      <a:rPr lang="en-US"/>
                      <a:t>#23</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99E1-46F7-9C3A-F932C791F9BC}"/>
                </c:ext>
              </c:extLst>
            </c:dLbl>
            <c:dLbl>
              <c:idx val="23"/>
              <c:tx>
                <c:rich>
                  <a:bodyPr/>
                  <a:lstStyle/>
                  <a:p>
                    <a:r>
                      <a:rPr lang="en-US"/>
                      <a:t>#24</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99E1-46F7-9C3A-F932C791F9BC}"/>
                </c:ext>
              </c:extLst>
            </c:dLbl>
            <c:dLbl>
              <c:idx val="2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99E1-46F7-9C3A-F932C791F9BC}"/>
                </c:ext>
              </c:extLst>
            </c:dLbl>
            <c:dLbl>
              <c:idx val="2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99E1-46F7-9C3A-F932C791F9BC}"/>
                </c:ext>
              </c:extLst>
            </c:dLbl>
            <c:dLbl>
              <c:idx val="26"/>
              <c:tx>
                <c:rich>
                  <a:bodyPr/>
                  <a:lstStyle/>
                  <a:p>
                    <a:r>
                      <a:rPr lang="en-US"/>
                      <a:t>#27</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99E1-46F7-9C3A-F932C791F9BC}"/>
                </c:ext>
              </c:extLst>
            </c:dLbl>
            <c:dLbl>
              <c:idx val="2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99E1-46F7-9C3A-F932C791F9BC}"/>
                </c:ext>
              </c:extLst>
            </c:dLbl>
            <c:dLbl>
              <c:idx val="28"/>
              <c:tx>
                <c:rich>
                  <a:bodyPr/>
                  <a:lstStyle/>
                  <a:p>
                    <a:r>
                      <a:rPr lang="en-US"/>
                      <a:t>#29</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99E1-46F7-9C3A-F932C791F9BC}"/>
                </c:ext>
              </c:extLst>
            </c:dLbl>
            <c:dLbl>
              <c:idx val="2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99E1-46F7-9C3A-F932C791F9BC}"/>
                </c:ext>
              </c:extLst>
            </c:dLbl>
            <c:dLbl>
              <c:idx val="3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99E1-46F7-9C3A-F932C791F9BC}"/>
                </c:ext>
              </c:extLst>
            </c:dLbl>
            <c:dLbl>
              <c:idx val="31"/>
              <c:tx>
                <c:rich>
                  <a:bodyPr/>
                  <a:lstStyle/>
                  <a:p>
                    <a:r>
                      <a:rPr lang="en-US"/>
                      <a:t>#32</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99E1-46F7-9C3A-F932C791F9BC}"/>
                </c:ext>
              </c:extLst>
            </c:dLbl>
            <c:dLbl>
              <c:idx val="3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3-99E1-46F7-9C3A-F932C791F9BC}"/>
                </c:ext>
              </c:extLst>
            </c:dLbl>
            <c:dLbl>
              <c:idx val="3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4-99E1-46F7-9C3A-F932C791F9BC}"/>
                </c:ext>
              </c:extLst>
            </c:dLbl>
            <c:dLbl>
              <c:idx val="34"/>
              <c:tx>
                <c:rich>
                  <a:bodyPr/>
                  <a:lstStyle/>
                  <a:p>
                    <a:r>
                      <a:rPr lang="en-US"/>
                      <a:t>#35</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5-99E1-46F7-9C3A-F932C791F9BC}"/>
                </c:ext>
              </c:extLst>
            </c:dLbl>
            <c:dLbl>
              <c:idx val="3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6-99E1-46F7-9C3A-F932C791F9BC}"/>
                </c:ext>
              </c:extLst>
            </c:dLbl>
            <c:dLbl>
              <c:idx val="3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7-99E1-46F7-9C3A-F932C791F9BC}"/>
                </c:ext>
              </c:extLst>
            </c:dLbl>
            <c:dLbl>
              <c:idx val="37"/>
              <c:tx>
                <c:rich>
                  <a:bodyPr/>
                  <a:lstStyle/>
                  <a:p>
                    <a:r>
                      <a:rPr lang="en-US"/>
                      <a:t>#38</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8-99E1-46F7-9C3A-F932C791F9BC}"/>
                </c:ext>
              </c:extLst>
            </c:dLbl>
            <c:dLbl>
              <c:idx val="38"/>
              <c:tx>
                <c:rich>
                  <a:bodyPr/>
                  <a:lstStyle/>
                  <a:p>
                    <a:r>
                      <a:rPr lang="en-US"/>
                      <a:t>#39</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9-99E1-46F7-9C3A-F932C791F9BC}"/>
                </c:ext>
              </c:extLst>
            </c:dLbl>
            <c:dLbl>
              <c:idx val="39"/>
              <c:tx>
                <c:rich>
                  <a:bodyPr/>
                  <a:lstStyle/>
                  <a:p>
                    <a:r>
                      <a:rPr lang="en-US"/>
                      <a:t>#40</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A-99E1-46F7-9C3A-F932C791F9BC}"/>
                </c:ext>
              </c:extLst>
            </c:dLbl>
            <c:dLbl>
              <c:idx val="4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B-99E1-46F7-9C3A-F932C791F9BC}"/>
                </c:ext>
              </c:extLst>
            </c:dLbl>
            <c:dLbl>
              <c:idx val="4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C-99E1-46F7-9C3A-F932C791F9BC}"/>
                </c:ext>
              </c:extLst>
            </c:dLbl>
            <c:dLbl>
              <c:idx val="4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D-99E1-46F7-9C3A-F932C791F9BC}"/>
                </c:ext>
              </c:extLst>
            </c:dLbl>
            <c:dLbl>
              <c:idx val="4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E-99E1-46F7-9C3A-F932C791F9BC}"/>
                </c:ext>
              </c:extLst>
            </c:dLbl>
            <c:dLbl>
              <c:idx val="44"/>
              <c:tx>
                <c:rich>
                  <a:bodyPr/>
                  <a:lstStyle/>
                  <a:p>
                    <a:r>
                      <a:rPr lang="en-US"/>
                      <a:t>#45</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F-99E1-46F7-9C3A-F932C791F9BC}"/>
                </c:ext>
              </c:extLst>
            </c:dLbl>
            <c:dLbl>
              <c:idx val="45"/>
              <c:tx>
                <c:rich>
                  <a:bodyPr/>
                  <a:lstStyle/>
                  <a:p>
                    <a:r>
                      <a:rPr lang="en-US"/>
                      <a:t>#46</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0-99E1-46F7-9C3A-F932C791F9BC}"/>
                </c:ext>
              </c:extLst>
            </c:dLbl>
            <c:dLbl>
              <c:idx val="46"/>
              <c:tx>
                <c:rich>
                  <a:bodyPr/>
                  <a:lstStyle/>
                  <a:p>
                    <a:r>
                      <a:rPr lang="en-US"/>
                      <a:t>#47</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1-99E1-46F7-9C3A-F932C791F9BC}"/>
                </c:ext>
              </c:extLst>
            </c:dLbl>
            <c:dLbl>
              <c:idx val="4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2-99E1-46F7-9C3A-F932C791F9BC}"/>
                </c:ext>
              </c:extLst>
            </c:dLbl>
            <c:dLbl>
              <c:idx val="48"/>
              <c:tx>
                <c:rich>
                  <a:bodyPr/>
                  <a:lstStyle/>
                  <a:p>
                    <a:r>
                      <a:rPr lang="en-US"/>
                      <a:t>#49</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3-99E1-46F7-9C3A-F932C791F9BC}"/>
                </c:ext>
              </c:extLst>
            </c:dLbl>
            <c:dLbl>
              <c:idx val="4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4-99E1-46F7-9C3A-F932C791F9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'2x2 Grid Output'!$K$18:$K$67</c:f>
              <c:numCache>
                <c:formatCode>General</c:formatCode>
                <c:ptCount val="50"/>
                <c:pt idx="0">
                  <c:v>#N/A</c:v>
                </c:pt>
                <c:pt idx="1">
                  <c:v>5</c:v>
                </c:pt>
                <c:pt idx="2">
                  <c:v>#N/A</c:v>
                </c:pt>
                <c:pt idx="3">
                  <c:v>#N/A</c:v>
                </c:pt>
                <c:pt idx="4">
                  <c:v>#N/A</c:v>
                </c:pt>
                <c:pt idx="5">
                  <c:v>#N/A</c:v>
                </c:pt>
                <c:pt idx="6">
                  <c:v>#N/A</c:v>
                </c:pt>
                <c:pt idx="7">
                  <c:v>8</c:v>
                </c:pt>
                <c:pt idx="8">
                  <c:v>#N/A</c:v>
                </c:pt>
                <c:pt idx="9">
                  <c:v>#N/A</c:v>
                </c:pt>
                <c:pt idx="10">
                  <c:v>#N/A</c:v>
                </c:pt>
                <c:pt idx="11">
                  <c:v>#N/A</c:v>
                </c:pt>
                <c:pt idx="12">
                  <c:v>#N/A</c:v>
                </c:pt>
                <c:pt idx="13">
                  <c:v>#N/A</c:v>
                </c:pt>
                <c:pt idx="14">
                  <c:v>#N/A</c:v>
                </c:pt>
                <c:pt idx="15">
                  <c:v>5</c:v>
                </c:pt>
                <c:pt idx="16">
                  <c:v>#N/A</c:v>
                </c:pt>
                <c:pt idx="17">
                  <c:v>#N/A</c:v>
                </c:pt>
                <c:pt idx="18">
                  <c:v>8</c:v>
                </c:pt>
                <c:pt idx="19">
                  <c:v>#N/A</c:v>
                </c:pt>
                <c:pt idx="20">
                  <c:v>7</c:v>
                </c:pt>
                <c:pt idx="21">
                  <c:v>#N/A</c:v>
                </c:pt>
                <c:pt idx="22">
                  <c:v>6</c:v>
                </c:pt>
                <c:pt idx="23">
                  <c:v>7</c:v>
                </c:pt>
                <c:pt idx="24">
                  <c:v>#N/A</c:v>
                </c:pt>
                <c:pt idx="25">
                  <c:v>#N/A</c:v>
                </c:pt>
                <c:pt idx="26">
                  <c:v>5</c:v>
                </c:pt>
                <c:pt idx="27">
                  <c:v>#N/A</c:v>
                </c:pt>
                <c:pt idx="28">
                  <c:v>6</c:v>
                </c:pt>
                <c:pt idx="29">
                  <c:v>#N/A</c:v>
                </c:pt>
                <c:pt idx="30">
                  <c:v>#N/A</c:v>
                </c:pt>
                <c:pt idx="31">
                  <c:v>6</c:v>
                </c:pt>
                <c:pt idx="32">
                  <c:v>#N/A</c:v>
                </c:pt>
                <c:pt idx="33">
                  <c:v>#N/A</c:v>
                </c:pt>
                <c:pt idx="34">
                  <c:v>7</c:v>
                </c:pt>
                <c:pt idx="35">
                  <c:v>#N/A</c:v>
                </c:pt>
                <c:pt idx="36">
                  <c:v>#N/A</c:v>
                </c:pt>
                <c:pt idx="37">
                  <c:v>6</c:v>
                </c:pt>
                <c:pt idx="38">
                  <c:v>8</c:v>
                </c:pt>
                <c:pt idx="39">
                  <c:v>6</c:v>
                </c:pt>
                <c:pt idx="40">
                  <c:v>#N/A</c:v>
                </c:pt>
                <c:pt idx="41">
                  <c:v>#N/A</c:v>
                </c:pt>
                <c:pt idx="42">
                  <c:v>#N/A</c:v>
                </c:pt>
                <c:pt idx="43">
                  <c:v>#N/A</c:v>
                </c:pt>
                <c:pt idx="44">
                  <c:v>6</c:v>
                </c:pt>
                <c:pt idx="45">
                  <c:v>7</c:v>
                </c:pt>
                <c:pt idx="46">
                  <c:v>7</c:v>
                </c:pt>
                <c:pt idx="47">
                  <c:v>#N/A</c:v>
                </c:pt>
                <c:pt idx="48">
                  <c:v>8</c:v>
                </c:pt>
                <c:pt idx="49">
                  <c:v>#N/A</c:v>
                </c:pt>
              </c:numCache>
            </c:numRef>
          </c:xVal>
          <c:yVal>
            <c:numRef>
              <c:f>'2x2 Grid Output'!$L$18:$L$67</c:f>
              <c:numCache>
                <c:formatCode>General</c:formatCode>
                <c:ptCount val="50"/>
                <c:pt idx="0">
                  <c:v>#N/A</c:v>
                </c:pt>
                <c:pt idx="1">
                  <c:v>0</c:v>
                </c:pt>
                <c:pt idx="2">
                  <c:v>#N/A</c:v>
                </c:pt>
                <c:pt idx="3">
                  <c:v>#N/A</c:v>
                </c:pt>
                <c:pt idx="4">
                  <c:v>#N/A</c:v>
                </c:pt>
                <c:pt idx="5">
                  <c:v>#N/A</c:v>
                </c:pt>
                <c:pt idx="6">
                  <c:v>#N/A</c:v>
                </c:pt>
                <c:pt idx="7">
                  <c:v>1</c:v>
                </c:pt>
                <c:pt idx="8">
                  <c:v>#N/A</c:v>
                </c:pt>
                <c:pt idx="9">
                  <c:v>#N/A</c:v>
                </c:pt>
                <c:pt idx="10">
                  <c:v>#N/A</c:v>
                </c:pt>
                <c:pt idx="11">
                  <c:v>#N/A</c:v>
                </c:pt>
                <c:pt idx="12">
                  <c:v>#N/A</c:v>
                </c:pt>
                <c:pt idx="13">
                  <c:v>#N/A</c:v>
                </c:pt>
                <c:pt idx="14">
                  <c:v>#N/A</c:v>
                </c:pt>
                <c:pt idx="15">
                  <c:v>1</c:v>
                </c:pt>
                <c:pt idx="16">
                  <c:v>#N/A</c:v>
                </c:pt>
                <c:pt idx="17">
                  <c:v>#N/A</c:v>
                </c:pt>
                <c:pt idx="18">
                  <c:v>2</c:v>
                </c:pt>
                <c:pt idx="19">
                  <c:v>#N/A</c:v>
                </c:pt>
                <c:pt idx="20">
                  <c:v>0</c:v>
                </c:pt>
                <c:pt idx="21">
                  <c:v>#N/A</c:v>
                </c:pt>
                <c:pt idx="22">
                  <c:v>1</c:v>
                </c:pt>
                <c:pt idx="23">
                  <c:v>1</c:v>
                </c:pt>
                <c:pt idx="24">
                  <c:v>#N/A</c:v>
                </c:pt>
                <c:pt idx="25">
                  <c:v>#N/A</c:v>
                </c:pt>
                <c:pt idx="26">
                  <c:v>1</c:v>
                </c:pt>
                <c:pt idx="27">
                  <c:v>#N/A</c:v>
                </c:pt>
                <c:pt idx="28">
                  <c:v>1</c:v>
                </c:pt>
                <c:pt idx="29">
                  <c:v>#N/A</c:v>
                </c:pt>
                <c:pt idx="30">
                  <c:v>#N/A</c:v>
                </c:pt>
                <c:pt idx="31">
                  <c:v>1</c:v>
                </c:pt>
                <c:pt idx="32">
                  <c:v>#N/A</c:v>
                </c:pt>
                <c:pt idx="33">
                  <c:v>#N/A</c:v>
                </c:pt>
                <c:pt idx="34">
                  <c:v>1</c:v>
                </c:pt>
                <c:pt idx="35">
                  <c:v>#N/A</c:v>
                </c:pt>
                <c:pt idx="36">
                  <c:v>#N/A</c:v>
                </c:pt>
                <c:pt idx="37">
                  <c:v>1</c:v>
                </c:pt>
                <c:pt idx="38">
                  <c:v>1</c:v>
                </c:pt>
                <c:pt idx="39">
                  <c:v>2</c:v>
                </c:pt>
                <c:pt idx="40">
                  <c:v>#N/A</c:v>
                </c:pt>
                <c:pt idx="41">
                  <c:v>#N/A</c:v>
                </c:pt>
                <c:pt idx="42">
                  <c:v>#N/A</c:v>
                </c:pt>
                <c:pt idx="43">
                  <c:v>#N/A</c:v>
                </c:pt>
                <c:pt idx="44">
                  <c:v>0</c:v>
                </c:pt>
                <c:pt idx="45">
                  <c:v>0</c:v>
                </c:pt>
                <c:pt idx="46">
                  <c:v>1</c:v>
                </c:pt>
                <c:pt idx="47">
                  <c:v>#N/A</c:v>
                </c:pt>
                <c:pt idx="48">
                  <c:v>2</c:v>
                </c:pt>
                <c:pt idx="49">
                  <c:v>#N/A</c:v>
                </c:pt>
              </c:numCache>
            </c:numRef>
          </c:yVal>
          <c:smooth val="0"/>
          <c:extLst>
            <c:ext xmlns:c16="http://schemas.microsoft.com/office/drawing/2014/chart" uri="{C3380CC4-5D6E-409C-BE32-E72D297353CC}">
              <c16:uniqueId val="{00000065-99E1-46F7-9C3A-F932C791F9BC}"/>
            </c:ext>
          </c:extLst>
        </c:ser>
        <c:ser>
          <c:idx val="2"/>
          <c:order val="2"/>
          <c:tx>
            <c:v>TOP LEFT</c:v>
          </c:tx>
          <c:spPr>
            <a:ln w="25400" cap="rnd">
              <a:noFill/>
              <a:round/>
            </a:ln>
            <a:effectLst/>
          </c:spPr>
          <c:marker>
            <c:symbol val="circle"/>
            <c:size val="5"/>
            <c:spPr>
              <a:solidFill>
                <a:srgbClr val="0070C0"/>
              </a:solidFill>
              <a:ln w="9525">
                <a:noFill/>
              </a:ln>
              <a:effectLst/>
            </c:spPr>
          </c:marker>
          <c:dLbls>
            <c:dLbl>
              <c:idx val="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6-99E1-46F7-9C3A-F932C791F9BC}"/>
                </c:ext>
              </c:extLst>
            </c:dLbl>
            <c:dLbl>
              <c:idx val="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7-99E1-46F7-9C3A-F932C791F9BC}"/>
                </c:ext>
              </c:extLst>
            </c:dLbl>
            <c:dLbl>
              <c:idx val="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8-99E1-46F7-9C3A-F932C791F9BC}"/>
                </c:ext>
              </c:extLst>
            </c:dLbl>
            <c:dLbl>
              <c:idx val="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9-99E1-46F7-9C3A-F932C791F9BC}"/>
                </c:ext>
              </c:extLst>
            </c:dLbl>
            <c:dLbl>
              <c:idx val="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A-99E1-46F7-9C3A-F932C791F9BC}"/>
                </c:ext>
              </c:extLst>
            </c:dLbl>
            <c:dLbl>
              <c:idx val="5"/>
              <c:tx>
                <c:rich>
                  <a:bodyPr/>
                  <a:lstStyle/>
                  <a:p>
                    <a:r>
                      <a:rPr lang="en-US"/>
                      <a:t>#6</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B-99E1-46F7-9C3A-F932C791F9BC}"/>
                </c:ext>
              </c:extLst>
            </c:dLbl>
            <c:dLbl>
              <c:idx val="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C-99E1-46F7-9C3A-F932C791F9BC}"/>
                </c:ext>
              </c:extLst>
            </c:dLbl>
            <c:dLbl>
              <c:idx val="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D-99E1-46F7-9C3A-F932C791F9BC}"/>
                </c:ext>
              </c:extLst>
            </c:dLbl>
            <c:dLbl>
              <c:idx val="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E-99E1-46F7-9C3A-F932C791F9BC}"/>
                </c:ext>
              </c:extLst>
            </c:dLbl>
            <c:dLbl>
              <c:idx val="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F-99E1-46F7-9C3A-F932C791F9BC}"/>
                </c:ext>
              </c:extLst>
            </c:dLbl>
            <c:dLbl>
              <c:idx val="1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0-99E1-46F7-9C3A-F932C791F9BC}"/>
                </c:ext>
              </c:extLst>
            </c:dLbl>
            <c:dLbl>
              <c:idx val="11"/>
              <c:tx>
                <c:rich>
                  <a:bodyPr/>
                  <a:lstStyle/>
                  <a:p>
                    <a:r>
                      <a:rPr lang="en-US"/>
                      <a:t>#12</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1-99E1-46F7-9C3A-F932C791F9BC}"/>
                </c:ext>
              </c:extLst>
            </c:dLbl>
            <c:dLbl>
              <c:idx val="1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2-99E1-46F7-9C3A-F932C791F9BC}"/>
                </c:ext>
              </c:extLst>
            </c:dLbl>
            <c:dLbl>
              <c:idx val="1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3-99E1-46F7-9C3A-F932C791F9BC}"/>
                </c:ext>
              </c:extLst>
            </c:dLbl>
            <c:dLbl>
              <c:idx val="1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4-99E1-46F7-9C3A-F932C791F9BC}"/>
                </c:ext>
              </c:extLst>
            </c:dLbl>
            <c:dLbl>
              <c:idx val="1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5-99E1-46F7-9C3A-F932C791F9BC}"/>
                </c:ext>
              </c:extLst>
            </c:dLbl>
            <c:dLbl>
              <c:idx val="16"/>
              <c:tx>
                <c:rich>
                  <a:bodyPr/>
                  <a:lstStyle/>
                  <a:p>
                    <a:r>
                      <a:rPr lang="en-US"/>
                      <a:t>#17</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6-99E1-46F7-9C3A-F932C791F9BC}"/>
                </c:ext>
              </c:extLst>
            </c:dLbl>
            <c:dLbl>
              <c:idx val="1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7-99E1-46F7-9C3A-F932C791F9BC}"/>
                </c:ext>
              </c:extLst>
            </c:dLbl>
            <c:dLbl>
              <c:idx val="1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8-99E1-46F7-9C3A-F932C791F9BC}"/>
                </c:ext>
              </c:extLst>
            </c:dLbl>
            <c:dLbl>
              <c:idx val="1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9-99E1-46F7-9C3A-F932C791F9BC}"/>
                </c:ext>
              </c:extLst>
            </c:dLbl>
            <c:dLbl>
              <c:idx val="2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A-99E1-46F7-9C3A-F932C791F9BC}"/>
                </c:ext>
              </c:extLst>
            </c:dLbl>
            <c:dLbl>
              <c:idx val="2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B-99E1-46F7-9C3A-F932C791F9BC}"/>
                </c:ext>
              </c:extLst>
            </c:dLbl>
            <c:dLbl>
              <c:idx val="2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C-99E1-46F7-9C3A-F932C791F9BC}"/>
                </c:ext>
              </c:extLst>
            </c:dLbl>
            <c:dLbl>
              <c:idx val="2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D-99E1-46F7-9C3A-F932C791F9BC}"/>
                </c:ext>
              </c:extLst>
            </c:dLbl>
            <c:dLbl>
              <c:idx val="2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E-99E1-46F7-9C3A-F932C791F9BC}"/>
                </c:ext>
              </c:extLst>
            </c:dLbl>
            <c:dLbl>
              <c:idx val="2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F-99E1-46F7-9C3A-F932C791F9BC}"/>
                </c:ext>
              </c:extLst>
            </c:dLbl>
            <c:dLbl>
              <c:idx val="2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0-99E1-46F7-9C3A-F932C791F9BC}"/>
                </c:ext>
              </c:extLst>
            </c:dLbl>
            <c:dLbl>
              <c:idx val="2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1-99E1-46F7-9C3A-F932C791F9BC}"/>
                </c:ext>
              </c:extLst>
            </c:dLbl>
            <c:dLbl>
              <c:idx val="2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2-99E1-46F7-9C3A-F932C791F9BC}"/>
                </c:ext>
              </c:extLst>
            </c:dLbl>
            <c:dLbl>
              <c:idx val="2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3-99E1-46F7-9C3A-F932C791F9BC}"/>
                </c:ext>
              </c:extLst>
            </c:dLbl>
            <c:dLbl>
              <c:idx val="30"/>
              <c:tx>
                <c:rich>
                  <a:bodyPr/>
                  <a:lstStyle/>
                  <a:p>
                    <a:r>
                      <a:rPr lang="en-US"/>
                      <a:t>#31</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4-99E1-46F7-9C3A-F932C791F9BC}"/>
                </c:ext>
              </c:extLst>
            </c:dLbl>
            <c:dLbl>
              <c:idx val="3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5-99E1-46F7-9C3A-F932C791F9BC}"/>
                </c:ext>
              </c:extLst>
            </c:dLbl>
            <c:dLbl>
              <c:idx val="3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6-99E1-46F7-9C3A-F932C791F9BC}"/>
                </c:ext>
              </c:extLst>
            </c:dLbl>
            <c:dLbl>
              <c:idx val="3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7-99E1-46F7-9C3A-F932C791F9BC}"/>
                </c:ext>
              </c:extLst>
            </c:dLbl>
            <c:dLbl>
              <c:idx val="3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8-99E1-46F7-9C3A-F932C791F9BC}"/>
                </c:ext>
              </c:extLst>
            </c:dLbl>
            <c:dLbl>
              <c:idx val="35"/>
              <c:tx>
                <c:rich>
                  <a:bodyPr/>
                  <a:lstStyle/>
                  <a:p>
                    <a:r>
                      <a:rPr lang="en-US"/>
                      <a:t>#36</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9-99E1-46F7-9C3A-F932C791F9BC}"/>
                </c:ext>
              </c:extLst>
            </c:dLbl>
            <c:dLbl>
              <c:idx val="36"/>
              <c:tx>
                <c:rich>
                  <a:bodyPr/>
                  <a:lstStyle/>
                  <a:p>
                    <a:r>
                      <a:rPr lang="en-US"/>
                      <a:t>#37</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A-99E1-46F7-9C3A-F932C791F9BC}"/>
                </c:ext>
              </c:extLst>
            </c:dLbl>
            <c:dLbl>
              <c:idx val="3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B-99E1-46F7-9C3A-F932C791F9BC}"/>
                </c:ext>
              </c:extLst>
            </c:dLbl>
            <c:dLbl>
              <c:idx val="3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C-99E1-46F7-9C3A-F932C791F9BC}"/>
                </c:ext>
              </c:extLst>
            </c:dLbl>
            <c:dLbl>
              <c:idx val="3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D-99E1-46F7-9C3A-F932C791F9BC}"/>
                </c:ext>
              </c:extLst>
            </c:dLbl>
            <c:dLbl>
              <c:idx val="4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E-99E1-46F7-9C3A-F932C791F9BC}"/>
                </c:ext>
              </c:extLst>
            </c:dLbl>
            <c:dLbl>
              <c:idx val="4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F-99E1-46F7-9C3A-F932C791F9BC}"/>
                </c:ext>
              </c:extLst>
            </c:dLbl>
            <c:dLbl>
              <c:idx val="4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0-99E1-46F7-9C3A-F932C791F9BC}"/>
                </c:ext>
              </c:extLst>
            </c:dLbl>
            <c:dLbl>
              <c:idx val="43"/>
              <c:tx>
                <c:rich>
                  <a:bodyPr/>
                  <a:lstStyle/>
                  <a:p>
                    <a:r>
                      <a:rPr lang="en-US"/>
                      <a:t>#44</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1-99E1-46F7-9C3A-F932C791F9BC}"/>
                </c:ext>
              </c:extLst>
            </c:dLbl>
            <c:dLbl>
              <c:idx val="4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2-99E1-46F7-9C3A-F932C791F9BC}"/>
                </c:ext>
              </c:extLst>
            </c:dLbl>
            <c:dLbl>
              <c:idx val="4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3-99E1-46F7-9C3A-F932C791F9BC}"/>
                </c:ext>
              </c:extLst>
            </c:dLbl>
            <c:dLbl>
              <c:idx val="4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4-99E1-46F7-9C3A-F932C791F9BC}"/>
                </c:ext>
              </c:extLst>
            </c:dLbl>
            <c:dLbl>
              <c:idx val="4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5-99E1-46F7-9C3A-F932C791F9BC}"/>
                </c:ext>
              </c:extLst>
            </c:dLbl>
            <c:dLbl>
              <c:idx val="4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6-99E1-46F7-9C3A-F932C791F9BC}"/>
                </c:ext>
              </c:extLst>
            </c:dLbl>
            <c:dLbl>
              <c:idx val="4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7-99E1-46F7-9C3A-F932C791F9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'2x2 Grid Output'!$N$18:$N$67</c:f>
              <c:numCache>
                <c:formatCode>General</c:formatCode>
                <c:ptCount val="50"/>
                <c:pt idx="0">
                  <c:v>#N/A</c:v>
                </c:pt>
                <c:pt idx="1">
                  <c:v>#N/A</c:v>
                </c:pt>
                <c:pt idx="2">
                  <c:v>#N/A</c:v>
                </c:pt>
                <c:pt idx="3">
                  <c:v>#N/A</c:v>
                </c:pt>
                <c:pt idx="4">
                  <c:v>#N/A</c:v>
                </c:pt>
                <c:pt idx="5">
                  <c:v>2</c:v>
                </c:pt>
                <c:pt idx="6">
                  <c:v>#N/A</c:v>
                </c:pt>
                <c:pt idx="7">
                  <c:v>#N/A</c:v>
                </c:pt>
                <c:pt idx="8">
                  <c:v>#N/A</c:v>
                </c:pt>
                <c:pt idx="9">
                  <c:v>#N/A</c:v>
                </c:pt>
                <c:pt idx="10">
                  <c:v>#N/A</c:v>
                </c:pt>
                <c:pt idx="11">
                  <c:v>2</c:v>
                </c:pt>
                <c:pt idx="12">
                  <c:v>#N/A</c:v>
                </c:pt>
                <c:pt idx="13">
                  <c:v>#N/A</c:v>
                </c:pt>
                <c:pt idx="14">
                  <c:v>#N/A</c:v>
                </c:pt>
                <c:pt idx="15">
                  <c:v>#N/A</c:v>
                </c:pt>
                <c:pt idx="16">
                  <c:v>2</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1</c:v>
                </c:pt>
                <c:pt idx="31">
                  <c:v>#N/A</c:v>
                </c:pt>
                <c:pt idx="32">
                  <c:v>#N/A</c:v>
                </c:pt>
                <c:pt idx="33">
                  <c:v>#N/A</c:v>
                </c:pt>
                <c:pt idx="34">
                  <c:v>#N/A</c:v>
                </c:pt>
                <c:pt idx="35">
                  <c:v>3</c:v>
                </c:pt>
                <c:pt idx="36">
                  <c:v>2</c:v>
                </c:pt>
                <c:pt idx="37">
                  <c:v>#N/A</c:v>
                </c:pt>
                <c:pt idx="38">
                  <c:v>#N/A</c:v>
                </c:pt>
                <c:pt idx="39">
                  <c:v>#N/A</c:v>
                </c:pt>
                <c:pt idx="40">
                  <c:v>#N/A</c:v>
                </c:pt>
                <c:pt idx="41">
                  <c:v>#N/A</c:v>
                </c:pt>
                <c:pt idx="42">
                  <c:v>#N/A</c:v>
                </c:pt>
                <c:pt idx="43">
                  <c:v>2</c:v>
                </c:pt>
                <c:pt idx="44">
                  <c:v>#N/A</c:v>
                </c:pt>
                <c:pt idx="45">
                  <c:v>#N/A</c:v>
                </c:pt>
                <c:pt idx="46">
                  <c:v>#N/A</c:v>
                </c:pt>
                <c:pt idx="47">
                  <c:v>#N/A</c:v>
                </c:pt>
                <c:pt idx="48">
                  <c:v>#N/A</c:v>
                </c:pt>
                <c:pt idx="49">
                  <c:v>#N/A</c:v>
                </c:pt>
              </c:numCache>
            </c:numRef>
          </c:xVal>
          <c:yVal>
            <c:numRef>
              <c:f>'2x2 Grid Output'!$O$18:$O$67</c:f>
              <c:numCache>
                <c:formatCode>General</c:formatCode>
                <c:ptCount val="50"/>
                <c:pt idx="0">
                  <c:v>#N/A</c:v>
                </c:pt>
                <c:pt idx="1">
                  <c:v>#N/A</c:v>
                </c:pt>
                <c:pt idx="2">
                  <c:v>#N/A</c:v>
                </c:pt>
                <c:pt idx="3">
                  <c:v>#N/A</c:v>
                </c:pt>
                <c:pt idx="4">
                  <c:v>#N/A</c:v>
                </c:pt>
                <c:pt idx="5">
                  <c:v>6</c:v>
                </c:pt>
                <c:pt idx="6">
                  <c:v>#N/A</c:v>
                </c:pt>
                <c:pt idx="7">
                  <c:v>#N/A</c:v>
                </c:pt>
                <c:pt idx="8">
                  <c:v>#N/A</c:v>
                </c:pt>
                <c:pt idx="9">
                  <c:v>#N/A</c:v>
                </c:pt>
                <c:pt idx="10">
                  <c:v>#N/A</c:v>
                </c:pt>
                <c:pt idx="11">
                  <c:v>5</c:v>
                </c:pt>
                <c:pt idx="12">
                  <c:v>#N/A</c:v>
                </c:pt>
                <c:pt idx="13">
                  <c:v>#N/A</c:v>
                </c:pt>
                <c:pt idx="14">
                  <c:v>#N/A</c:v>
                </c:pt>
                <c:pt idx="15">
                  <c:v>#N/A</c:v>
                </c:pt>
                <c:pt idx="16">
                  <c:v>4</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6</c:v>
                </c:pt>
                <c:pt idx="31">
                  <c:v>#N/A</c:v>
                </c:pt>
                <c:pt idx="32">
                  <c:v>#N/A</c:v>
                </c:pt>
                <c:pt idx="33">
                  <c:v>#N/A</c:v>
                </c:pt>
                <c:pt idx="34">
                  <c:v>#N/A</c:v>
                </c:pt>
                <c:pt idx="35">
                  <c:v>6</c:v>
                </c:pt>
                <c:pt idx="36">
                  <c:v>4</c:v>
                </c:pt>
                <c:pt idx="37">
                  <c:v>#N/A</c:v>
                </c:pt>
                <c:pt idx="38">
                  <c:v>#N/A</c:v>
                </c:pt>
                <c:pt idx="39">
                  <c:v>#N/A</c:v>
                </c:pt>
                <c:pt idx="40">
                  <c:v>#N/A</c:v>
                </c:pt>
                <c:pt idx="41">
                  <c:v>#N/A</c:v>
                </c:pt>
                <c:pt idx="42">
                  <c:v>#N/A</c:v>
                </c:pt>
                <c:pt idx="43">
                  <c:v>4</c:v>
                </c:pt>
                <c:pt idx="44">
                  <c:v>#N/A</c:v>
                </c:pt>
                <c:pt idx="45">
                  <c:v>#N/A</c:v>
                </c:pt>
                <c:pt idx="46">
                  <c:v>#N/A</c:v>
                </c:pt>
                <c:pt idx="47">
                  <c:v>#N/A</c:v>
                </c:pt>
                <c:pt idx="48">
                  <c:v>#N/A</c:v>
                </c:pt>
                <c:pt idx="49">
                  <c:v>#N/A</c:v>
                </c:pt>
              </c:numCache>
            </c:numRef>
          </c:yVal>
          <c:smooth val="0"/>
          <c:extLst>
            <c:ext xmlns:c16="http://schemas.microsoft.com/office/drawing/2014/chart" uri="{C3380CC4-5D6E-409C-BE32-E72D297353CC}">
              <c16:uniqueId val="{00000098-99E1-46F7-9C3A-F932C791F9BC}"/>
            </c:ext>
          </c:extLst>
        </c:ser>
        <c:ser>
          <c:idx val="3"/>
          <c:order val="3"/>
          <c:tx>
            <c:v>BOTTOM LEFT</c:v>
          </c:tx>
          <c:spPr>
            <a:ln w="25400" cap="rnd">
              <a:noFill/>
              <a:round/>
            </a:ln>
            <a:effectLst/>
          </c:spPr>
          <c:marker>
            <c:symbol val="circle"/>
            <c:size val="5"/>
            <c:spPr>
              <a:solidFill>
                <a:srgbClr val="FF0000"/>
              </a:solidFill>
              <a:ln w="9525">
                <a:noFill/>
              </a:ln>
              <a:effectLst/>
            </c:spPr>
          </c:marker>
          <c:dLbls>
            <c:dLbl>
              <c:idx val="0"/>
              <c:tx>
                <c:rich>
                  <a:bodyPr/>
                  <a:lstStyle/>
                  <a:p>
                    <a:r>
                      <a:rPr lang="en-US"/>
                      <a:t>#1</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9-99E1-46F7-9C3A-F932C791F9BC}"/>
                </c:ext>
              </c:extLst>
            </c:dLbl>
            <c:dLbl>
              <c:idx val="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A-99E1-46F7-9C3A-F932C791F9BC}"/>
                </c:ext>
              </c:extLst>
            </c:dLbl>
            <c:dLbl>
              <c:idx val="2"/>
              <c:tx>
                <c:rich>
                  <a:bodyPr/>
                  <a:lstStyle/>
                  <a:p>
                    <a:r>
                      <a:rPr lang="en-US"/>
                      <a:t>#3</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B-99E1-46F7-9C3A-F932C791F9BC}"/>
                </c:ext>
              </c:extLst>
            </c:dLbl>
            <c:dLbl>
              <c:idx val="3"/>
              <c:tx>
                <c:rich>
                  <a:bodyPr/>
                  <a:lstStyle/>
                  <a:p>
                    <a:r>
                      <a:rPr lang="en-US"/>
                      <a:t>#4</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C-99E1-46F7-9C3A-F932C791F9BC}"/>
                </c:ext>
              </c:extLst>
            </c:dLbl>
            <c:dLbl>
              <c:idx val="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D-99E1-46F7-9C3A-F932C791F9BC}"/>
                </c:ext>
              </c:extLst>
            </c:dLbl>
            <c:dLbl>
              <c:idx val="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E-99E1-46F7-9C3A-F932C791F9BC}"/>
                </c:ext>
              </c:extLst>
            </c:dLbl>
            <c:dLbl>
              <c:idx val="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F-99E1-46F7-9C3A-F932C791F9BC}"/>
                </c:ext>
              </c:extLst>
            </c:dLbl>
            <c:dLbl>
              <c:idx val="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0-99E1-46F7-9C3A-F932C791F9BC}"/>
                </c:ext>
              </c:extLst>
            </c:dLbl>
            <c:dLbl>
              <c:idx val="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1-99E1-46F7-9C3A-F932C791F9BC}"/>
                </c:ext>
              </c:extLst>
            </c:dLbl>
            <c:dLbl>
              <c:idx val="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2-99E1-46F7-9C3A-F932C791F9BC}"/>
                </c:ext>
              </c:extLst>
            </c:dLbl>
            <c:dLbl>
              <c:idx val="10"/>
              <c:tx>
                <c:rich>
                  <a:bodyPr/>
                  <a:lstStyle/>
                  <a:p>
                    <a:r>
                      <a:rPr lang="en-US"/>
                      <a:t>#11</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3-99E1-46F7-9C3A-F932C791F9BC}"/>
                </c:ext>
              </c:extLst>
            </c:dLbl>
            <c:dLbl>
              <c:idx val="1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4-99E1-46F7-9C3A-F932C791F9BC}"/>
                </c:ext>
              </c:extLst>
            </c:dLbl>
            <c:dLbl>
              <c:idx val="12"/>
              <c:tx>
                <c:rich>
                  <a:bodyPr/>
                  <a:lstStyle/>
                  <a:p>
                    <a:r>
                      <a:rPr lang="en-US"/>
                      <a:t>#13</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5-99E1-46F7-9C3A-F932C791F9BC}"/>
                </c:ext>
              </c:extLst>
            </c:dLbl>
            <c:dLbl>
              <c:idx val="1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6-99E1-46F7-9C3A-F932C791F9BC}"/>
                </c:ext>
              </c:extLst>
            </c:dLbl>
            <c:dLbl>
              <c:idx val="14"/>
              <c:tx>
                <c:rich>
                  <a:bodyPr/>
                  <a:lstStyle/>
                  <a:p>
                    <a:r>
                      <a:rPr lang="en-US"/>
                      <a:t>#15</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7-99E1-46F7-9C3A-F932C791F9BC}"/>
                </c:ext>
              </c:extLst>
            </c:dLbl>
            <c:dLbl>
              <c:idx val="1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8-99E1-46F7-9C3A-F932C791F9BC}"/>
                </c:ext>
              </c:extLst>
            </c:dLbl>
            <c:dLbl>
              <c:idx val="1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9-99E1-46F7-9C3A-F932C791F9BC}"/>
                </c:ext>
              </c:extLst>
            </c:dLbl>
            <c:dLbl>
              <c:idx val="17"/>
              <c:tx>
                <c:rich>
                  <a:bodyPr/>
                  <a:lstStyle/>
                  <a:p>
                    <a:r>
                      <a:rPr lang="en-US"/>
                      <a:t>#18</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A-99E1-46F7-9C3A-F932C791F9BC}"/>
                </c:ext>
              </c:extLst>
            </c:dLbl>
            <c:dLbl>
              <c:idx val="1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B-99E1-46F7-9C3A-F932C791F9BC}"/>
                </c:ext>
              </c:extLst>
            </c:dLbl>
            <c:dLbl>
              <c:idx val="1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C-99E1-46F7-9C3A-F932C791F9BC}"/>
                </c:ext>
              </c:extLst>
            </c:dLbl>
            <c:dLbl>
              <c:idx val="2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D-99E1-46F7-9C3A-F932C791F9BC}"/>
                </c:ext>
              </c:extLst>
            </c:dLbl>
            <c:dLbl>
              <c:idx val="2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E-99E1-46F7-9C3A-F932C791F9BC}"/>
                </c:ext>
              </c:extLst>
            </c:dLbl>
            <c:dLbl>
              <c:idx val="22"/>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F-99E1-46F7-9C3A-F932C791F9BC}"/>
                </c:ext>
              </c:extLst>
            </c:dLbl>
            <c:dLbl>
              <c:idx val="2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0-99E1-46F7-9C3A-F932C791F9BC}"/>
                </c:ext>
              </c:extLst>
            </c:dLbl>
            <c:dLbl>
              <c:idx val="2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1-99E1-46F7-9C3A-F932C791F9BC}"/>
                </c:ext>
              </c:extLst>
            </c:dLbl>
            <c:dLbl>
              <c:idx val="2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2-99E1-46F7-9C3A-F932C791F9BC}"/>
                </c:ext>
              </c:extLst>
            </c:dLbl>
            <c:dLbl>
              <c:idx val="2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3-99E1-46F7-9C3A-F932C791F9BC}"/>
                </c:ext>
              </c:extLst>
            </c:dLbl>
            <c:dLbl>
              <c:idx val="2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4-99E1-46F7-9C3A-F932C791F9BC}"/>
                </c:ext>
              </c:extLst>
            </c:dLbl>
            <c:dLbl>
              <c:idx val="2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5-99E1-46F7-9C3A-F932C791F9BC}"/>
                </c:ext>
              </c:extLst>
            </c:dLbl>
            <c:dLbl>
              <c:idx val="2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6-99E1-46F7-9C3A-F932C791F9BC}"/>
                </c:ext>
              </c:extLst>
            </c:dLbl>
            <c:dLbl>
              <c:idx val="3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7-99E1-46F7-9C3A-F932C791F9BC}"/>
                </c:ext>
              </c:extLst>
            </c:dLbl>
            <c:dLbl>
              <c:idx val="31"/>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8-99E1-46F7-9C3A-F932C791F9BC}"/>
                </c:ext>
              </c:extLst>
            </c:dLbl>
            <c:dLbl>
              <c:idx val="32"/>
              <c:tx>
                <c:rich>
                  <a:bodyPr/>
                  <a:lstStyle/>
                  <a:p>
                    <a:r>
                      <a:rPr lang="en-US"/>
                      <a:t>#33</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9-99E1-46F7-9C3A-F932C791F9BC}"/>
                </c:ext>
              </c:extLst>
            </c:dLbl>
            <c:dLbl>
              <c:idx val="33"/>
              <c:tx>
                <c:rich>
                  <a:bodyPr/>
                  <a:lstStyle/>
                  <a:p>
                    <a:r>
                      <a:rPr lang="en-US"/>
                      <a:t>#34</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A-99E1-46F7-9C3A-F932C791F9BC}"/>
                </c:ext>
              </c:extLst>
            </c:dLbl>
            <c:dLbl>
              <c:idx val="3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B-99E1-46F7-9C3A-F932C791F9BC}"/>
                </c:ext>
              </c:extLst>
            </c:dLbl>
            <c:dLbl>
              <c:idx val="3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C-99E1-46F7-9C3A-F932C791F9BC}"/>
                </c:ext>
              </c:extLst>
            </c:dLbl>
            <c:dLbl>
              <c:idx val="3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D-99E1-46F7-9C3A-F932C791F9BC}"/>
                </c:ext>
              </c:extLst>
            </c:dLbl>
            <c:dLbl>
              <c:idx val="37"/>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E-99E1-46F7-9C3A-F932C791F9BC}"/>
                </c:ext>
              </c:extLst>
            </c:dLbl>
            <c:dLbl>
              <c:idx val="3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F-99E1-46F7-9C3A-F932C791F9BC}"/>
                </c:ext>
              </c:extLst>
            </c:dLbl>
            <c:dLbl>
              <c:idx val="3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0-99E1-46F7-9C3A-F932C791F9BC}"/>
                </c:ext>
              </c:extLst>
            </c:dLbl>
            <c:dLbl>
              <c:idx val="40"/>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1-99E1-46F7-9C3A-F932C791F9BC}"/>
                </c:ext>
              </c:extLst>
            </c:dLbl>
            <c:dLbl>
              <c:idx val="41"/>
              <c:tx>
                <c:rich>
                  <a:bodyPr/>
                  <a:lstStyle/>
                  <a:p>
                    <a:r>
                      <a:rPr lang="en-US"/>
                      <a:t>#42</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2-99E1-46F7-9C3A-F932C791F9BC}"/>
                </c:ext>
              </c:extLst>
            </c:dLbl>
            <c:dLbl>
              <c:idx val="42"/>
              <c:tx>
                <c:rich>
                  <a:bodyPr/>
                  <a:lstStyle/>
                  <a:p>
                    <a:r>
                      <a:rPr lang="en-US"/>
                      <a:t>#43</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3-99E1-46F7-9C3A-F932C791F9BC}"/>
                </c:ext>
              </c:extLst>
            </c:dLbl>
            <c:dLbl>
              <c:idx val="43"/>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4-99E1-46F7-9C3A-F932C791F9BC}"/>
                </c:ext>
              </c:extLst>
            </c:dLbl>
            <c:dLbl>
              <c:idx val="44"/>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5-99E1-46F7-9C3A-F932C791F9BC}"/>
                </c:ext>
              </c:extLst>
            </c:dLbl>
            <c:dLbl>
              <c:idx val="45"/>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6-99E1-46F7-9C3A-F932C791F9BC}"/>
                </c:ext>
              </c:extLst>
            </c:dLbl>
            <c:dLbl>
              <c:idx val="46"/>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7-99E1-46F7-9C3A-F932C791F9BC}"/>
                </c:ext>
              </c:extLst>
            </c:dLbl>
            <c:dLbl>
              <c:idx val="47"/>
              <c:tx>
                <c:rich>
                  <a:bodyPr/>
                  <a:lstStyle/>
                  <a:p>
                    <a:r>
                      <a:rPr lang="en-US"/>
                      <a:t>#48</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8-99E1-46F7-9C3A-F932C791F9BC}"/>
                </c:ext>
              </c:extLst>
            </c:dLbl>
            <c:dLbl>
              <c:idx val="48"/>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9-99E1-46F7-9C3A-F932C791F9BC}"/>
                </c:ext>
              </c:extLst>
            </c:dLbl>
            <c:dLbl>
              <c:idx val="49"/>
              <c:tx>
                <c:rich>
                  <a:bodyPr/>
                  <a:lstStyle/>
                  <a:p>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A-99E1-46F7-9C3A-F932C791F9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'2x2 Grid Output'!$Q$18:$Q$67</c:f>
              <c:numCache>
                <c:formatCode>General</c:formatCode>
                <c:ptCount val="50"/>
                <c:pt idx="0">
                  <c:v>4</c:v>
                </c:pt>
                <c:pt idx="1">
                  <c:v>#N/A</c:v>
                </c:pt>
                <c:pt idx="2">
                  <c:v>4</c:v>
                </c:pt>
                <c:pt idx="3">
                  <c:v>2</c:v>
                </c:pt>
                <c:pt idx="4">
                  <c:v>#N/A</c:v>
                </c:pt>
                <c:pt idx="5">
                  <c:v>#N/A</c:v>
                </c:pt>
                <c:pt idx="6">
                  <c:v>#N/A</c:v>
                </c:pt>
                <c:pt idx="7">
                  <c:v>#N/A</c:v>
                </c:pt>
                <c:pt idx="8">
                  <c:v>#N/A</c:v>
                </c:pt>
                <c:pt idx="9">
                  <c:v>#N/A</c:v>
                </c:pt>
                <c:pt idx="10">
                  <c:v>1</c:v>
                </c:pt>
                <c:pt idx="11">
                  <c:v>#N/A</c:v>
                </c:pt>
                <c:pt idx="12">
                  <c:v>1</c:v>
                </c:pt>
                <c:pt idx="13">
                  <c:v>#N/A</c:v>
                </c:pt>
                <c:pt idx="14">
                  <c:v>4</c:v>
                </c:pt>
                <c:pt idx="15">
                  <c:v>#N/A</c:v>
                </c:pt>
                <c:pt idx="16">
                  <c:v>#N/A</c:v>
                </c:pt>
                <c:pt idx="17">
                  <c:v>1</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3</c:v>
                </c:pt>
                <c:pt idx="33">
                  <c:v>1</c:v>
                </c:pt>
                <c:pt idx="34">
                  <c:v>#N/A</c:v>
                </c:pt>
                <c:pt idx="35">
                  <c:v>#N/A</c:v>
                </c:pt>
                <c:pt idx="36">
                  <c:v>#N/A</c:v>
                </c:pt>
                <c:pt idx="37">
                  <c:v>#N/A</c:v>
                </c:pt>
                <c:pt idx="38">
                  <c:v>#N/A</c:v>
                </c:pt>
                <c:pt idx="39">
                  <c:v>#N/A</c:v>
                </c:pt>
                <c:pt idx="40">
                  <c:v>#N/A</c:v>
                </c:pt>
                <c:pt idx="41">
                  <c:v>3</c:v>
                </c:pt>
                <c:pt idx="42">
                  <c:v>2</c:v>
                </c:pt>
                <c:pt idx="43">
                  <c:v>#N/A</c:v>
                </c:pt>
                <c:pt idx="44">
                  <c:v>#N/A</c:v>
                </c:pt>
                <c:pt idx="45">
                  <c:v>#N/A</c:v>
                </c:pt>
                <c:pt idx="46">
                  <c:v>#N/A</c:v>
                </c:pt>
                <c:pt idx="47">
                  <c:v>3</c:v>
                </c:pt>
                <c:pt idx="48">
                  <c:v>#N/A</c:v>
                </c:pt>
                <c:pt idx="49">
                  <c:v>#N/A</c:v>
                </c:pt>
              </c:numCache>
            </c:numRef>
          </c:xVal>
          <c:yVal>
            <c:numRef>
              <c:f>'2x2 Grid Output'!$R$18:$R$67</c:f>
              <c:numCache>
                <c:formatCode>General</c:formatCode>
                <c:ptCount val="50"/>
                <c:pt idx="0">
                  <c:v>0</c:v>
                </c:pt>
                <c:pt idx="1">
                  <c:v>#N/A</c:v>
                </c:pt>
                <c:pt idx="2">
                  <c:v>1</c:v>
                </c:pt>
                <c:pt idx="3">
                  <c:v>2</c:v>
                </c:pt>
                <c:pt idx="4">
                  <c:v>#N/A</c:v>
                </c:pt>
                <c:pt idx="5">
                  <c:v>#N/A</c:v>
                </c:pt>
                <c:pt idx="6">
                  <c:v>#N/A</c:v>
                </c:pt>
                <c:pt idx="7">
                  <c:v>#N/A</c:v>
                </c:pt>
                <c:pt idx="8">
                  <c:v>#N/A</c:v>
                </c:pt>
                <c:pt idx="9">
                  <c:v>#N/A</c:v>
                </c:pt>
                <c:pt idx="10">
                  <c:v>1</c:v>
                </c:pt>
                <c:pt idx="11">
                  <c:v>#N/A</c:v>
                </c:pt>
                <c:pt idx="12">
                  <c:v>1</c:v>
                </c:pt>
                <c:pt idx="13">
                  <c:v>#N/A</c:v>
                </c:pt>
                <c:pt idx="14">
                  <c:v>0</c:v>
                </c:pt>
                <c:pt idx="15">
                  <c:v>#N/A</c:v>
                </c:pt>
                <c:pt idx="16">
                  <c:v>#N/A</c:v>
                </c:pt>
                <c:pt idx="17">
                  <c:v>3</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1</c:v>
                </c:pt>
                <c:pt idx="33">
                  <c:v>0</c:v>
                </c:pt>
                <c:pt idx="34">
                  <c:v>#N/A</c:v>
                </c:pt>
                <c:pt idx="35">
                  <c:v>#N/A</c:v>
                </c:pt>
                <c:pt idx="36">
                  <c:v>#N/A</c:v>
                </c:pt>
                <c:pt idx="37">
                  <c:v>#N/A</c:v>
                </c:pt>
                <c:pt idx="38">
                  <c:v>#N/A</c:v>
                </c:pt>
                <c:pt idx="39">
                  <c:v>#N/A</c:v>
                </c:pt>
                <c:pt idx="40">
                  <c:v>#N/A</c:v>
                </c:pt>
                <c:pt idx="41">
                  <c:v>2</c:v>
                </c:pt>
                <c:pt idx="42">
                  <c:v>3</c:v>
                </c:pt>
                <c:pt idx="43">
                  <c:v>#N/A</c:v>
                </c:pt>
                <c:pt idx="44">
                  <c:v>#N/A</c:v>
                </c:pt>
                <c:pt idx="45">
                  <c:v>#N/A</c:v>
                </c:pt>
                <c:pt idx="46">
                  <c:v>#N/A</c:v>
                </c:pt>
                <c:pt idx="47">
                  <c:v>1</c:v>
                </c:pt>
                <c:pt idx="48">
                  <c:v>#N/A</c:v>
                </c:pt>
                <c:pt idx="49">
                  <c:v>#N/A</c:v>
                </c:pt>
              </c:numCache>
            </c:numRef>
          </c:yVal>
          <c:smooth val="0"/>
          <c:extLst>
            <c:ext xmlns:c16="http://schemas.microsoft.com/office/drawing/2014/chart" uri="{C3380CC4-5D6E-409C-BE32-E72D297353CC}">
              <c16:uniqueId val="{000000CB-99E1-46F7-9C3A-F932C791F9BC}"/>
            </c:ext>
          </c:extLst>
        </c:ser>
        <c:dLbls>
          <c:showLegendKey val="0"/>
          <c:showVal val="0"/>
          <c:showCatName val="0"/>
          <c:showSerName val="0"/>
          <c:showPercent val="0"/>
          <c:showBubbleSize val="0"/>
        </c:dLbls>
        <c:axId val="-1685620256"/>
        <c:axId val="-1685609376"/>
      </c:scatterChart>
      <c:valAx>
        <c:axId val="-1685620256"/>
        <c:scaling>
          <c:orientation val="minMax"/>
          <c:max val="8"/>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85609376"/>
        <c:crosses val="autoZero"/>
        <c:crossBetween val="midCat"/>
      </c:valAx>
      <c:valAx>
        <c:axId val="-1685609376"/>
        <c:scaling>
          <c:orientation val="minMax"/>
          <c:max val="6"/>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85620256"/>
        <c:crosses val="autoZero"/>
        <c:crossBetween val="midCat"/>
      </c:valAx>
      <c:spPr>
        <a:blipFill>
          <a:blip xmlns:r="http://schemas.openxmlformats.org/officeDocument/2006/relationships" r:embed="rId3">
            <a:alphaModFix amt="99000"/>
          </a:blip>
          <a:stretch>
            <a:fillRect/>
          </a:stretch>
        </a:blipFill>
        <a:ln>
          <a:noFill/>
        </a:ln>
        <a:effectLst/>
      </c:spPr>
    </c:plotArea>
    <c:legend>
      <c:legendPos val="r"/>
      <c:layout>
        <c:manualLayout>
          <c:xMode val="edge"/>
          <c:yMode val="edge"/>
          <c:x val="0.78019472427566428"/>
          <c:y val="0.46962517387913039"/>
          <c:w val="0.20589827610146721"/>
          <c:h val="0.29440831092102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21</xdr:col>
      <xdr:colOff>361950</xdr:colOff>
      <xdr:row>16</xdr:row>
      <xdr:rowOff>46433</xdr:rowOff>
    </xdr:from>
    <xdr:to>
      <xdr:col>32</xdr:col>
      <xdr:colOff>570309</xdr:colOff>
      <xdr:row>35</xdr:row>
      <xdr:rowOff>66674</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142875</xdr:colOff>
      <xdr:row>6</xdr:row>
      <xdr:rowOff>123825</xdr:rowOff>
    </xdr:from>
    <xdr:to>
      <xdr:col>21</xdr:col>
      <xdr:colOff>219075</xdr:colOff>
      <xdr:row>9</xdr:row>
      <xdr:rowOff>47625</xdr:rowOff>
    </xdr:to>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257175" y="1457325"/>
          <a:ext cx="5010150" cy="49530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a:t>These values represent the</a:t>
          </a:r>
          <a:r>
            <a:rPr lang="en-CA" sz="1100" baseline="0"/>
            <a:t> maximum and minimum values on each axis</a:t>
          </a:r>
          <a:endParaRPr lang="en-CA" sz="1100"/>
        </a:p>
      </xdr:txBody>
    </xdr:sp>
    <xdr:clientData/>
  </xdr:twoCellAnchor>
  <xdr:twoCellAnchor>
    <xdr:from>
      <xdr:col>2</xdr:col>
      <xdr:colOff>542925</xdr:colOff>
      <xdr:row>5</xdr:row>
      <xdr:rowOff>19050</xdr:rowOff>
    </xdr:from>
    <xdr:to>
      <xdr:col>2</xdr:col>
      <xdr:colOff>561975</xdr:colOff>
      <xdr:row>6</xdr:row>
      <xdr:rowOff>123825</xdr:rowOff>
    </xdr:to>
    <xdr:cxnSp macro="">
      <xdr:nvCxnSpPr>
        <xdr:cNvPr id="4" name="Straight Arrow Connector 3">
          <a:extLst>
            <a:ext uri="{FF2B5EF4-FFF2-40B4-BE49-F238E27FC236}">
              <a16:creationId xmlns:a16="http://schemas.microsoft.com/office/drawing/2014/main" id="{00000000-0008-0000-0500-000004000000}"/>
            </a:ext>
          </a:extLst>
        </xdr:cNvPr>
        <xdr:cNvCxnSpPr>
          <a:stCxn id="3" idx="0"/>
        </xdr:cNvCxnSpPr>
      </xdr:nvCxnSpPr>
      <xdr:spPr>
        <a:xfrm flipV="1">
          <a:off x="1695450" y="1162050"/>
          <a:ext cx="19050" cy="2952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495300</xdr:colOff>
      <xdr:row>8</xdr:row>
      <xdr:rowOff>142876</xdr:rowOff>
    </xdr:from>
    <xdr:to>
      <xdr:col>27</xdr:col>
      <xdr:colOff>352425</xdr:colOff>
      <xdr:row>12</xdr:row>
      <xdr:rowOff>0</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5819775" y="1857376"/>
          <a:ext cx="2876550" cy="619124"/>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a:solidFill>
                <a:schemeClr val="dk1"/>
              </a:solidFill>
              <a:effectLst/>
              <a:latin typeface="+mn-lt"/>
              <a:ea typeface="+mn-ea"/>
              <a:cs typeface="+mn-cs"/>
            </a:rPr>
            <a:t>Link these</a:t>
          </a:r>
          <a:r>
            <a:rPr lang="en-CA" sz="1100" baseline="0">
              <a:solidFill>
                <a:schemeClr val="dk1"/>
              </a:solidFill>
              <a:effectLst/>
              <a:latin typeface="+mn-lt"/>
              <a:ea typeface="+mn-ea"/>
              <a:cs typeface="+mn-cs"/>
            </a:rPr>
            <a:t> cells to your raw scores to ensure the graphic will dynamically respond to different responses</a:t>
          </a:r>
          <a:endParaRPr lang="en-CA">
            <a:effectLst/>
          </a:endParaRPr>
        </a:p>
      </xdr:txBody>
    </xdr:sp>
    <xdr:clientData/>
  </xdr:twoCellAnchor>
  <xdr:twoCellAnchor>
    <xdr:from>
      <xdr:col>3</xdr:col>
      <xdr:colOff>28575</xdr:colOff>
      <xdr:row>12</xdr:row>
      <xdr:rowOff>19050</xdr:rowOff>
    </xdr:from>
    <xdr:to>
      <xdr:col>22</xdr:col>
      <xdr:colOff>771525</xdr:colOff>
      <xdr:row>15</xdr:row>
      <xdr:rowOff>352425</xdr:rowOff>
    </xdr:to>
    <xdr:cxnSp macro="">
      <xdr:nvCxnSpPr>
        <xdr:cNvPr id="6" name="Straight Arrow Connector 5">
          <a:extLst>
            <a:ext uri="{FF2B5EF4-FFF2-40B4-BE49-F238E27FC236}">
              <a16:creationId xmlns:a16="http://schemas.microsoft.com/office/drawing/2014/main" id="{00000000-0008-0000-0500-000006000000}"/>
            </a:ext>
          </a:extLst>
        </xdr:cNvPr>
        <xdr:cNvCxnSpPr/>
      </xdr:nvCxnSpPr>
      <xdr:spPr>
        <a:xfrm flipH="1">
          <a:off x="2143125" y="2495550"/>
          <a:ext cx="3952875" cy="9048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104775</xdr:colOff>
      <xdr:row>9</xdr:row>
      <xdr:rowOff>123824</xdr:rowOff>
    </xdr:from>
    <xdr:to>
      <xdr:col>21</xdr:col>
      <xdr:colOff>180975</xdr:colOff>
      <xdr:row>12</xdr:row>
      <xdr:rowOff>106724</xdr:rowOff>
    </xdr:to>
    <xdr:sp macro="" textlink="">
      <xdr:nvSpPr>
        <xdr:cNvPr id="7" name="TextBox 6">
          <a:extLst>
            <a:ext uri="{FF2B5EF4-FFF2-40B4-BE49-F238E27FC236}">
              <a16:creationId xmlns:a16="http://schemas.microsoft.com/office/drawing/2014/main" id="{00000000-0008-0000-0500-000007000000}"/>
            </a:ext>
          </a:extLst>
        </xdr:cNvPr>
        <xdr:cNvSpPr txBox="1"/>
      </xdr:nvSpPr>
      <xdr:spPr>
        <a:xfrm>
          <a:off x="219075" y="2028824"/>
          <a:ext cx="5010150" cy="55440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a:solidFill>
                <a:schemeClr val="dk1"/>
              </a:solidFill>
              <a:effectLst/>
              <a:latin typeface="+mn-lt"/>
              <a:ea typeface="+mn-ea"/>
              <a:cs typeface="+mn-cs"/>
            </a:rPr>
            <a:t>These values will appear on the matrix</a:t>
          </a:r>
          <a:r>
            <a:rPr lang="en-CA" sz="1100" baseline="0">
              <a:solidFill>
                <a:schemeClr val="dk1"/>
              </a:solidFill>
              <a:effectLst/>
              <a:latin typeface="+mn-lt"/>
              <a:ea typeface="+mn-ea"/>
              <a:cs typeface="+mn-cs"/>
            </a:rPr>
            <a:t> next to the data point</a:t>
          </a:r>
          <a:endParaRPr lang="en-CA">
            <a:effectLst/>
          </a:endParaRPr>
        </a:p>
      </xdr:txBody>
    </xdr:sp>
    <xdr:clientData/>
  </xdr:twoCellAnchor>
  <xdr:twoCellAnchor>
    <xdr:from>
      <xdr:col>1</xdr:col>
      <xdr:colOff>552450</xdr:colOff>
      <xdr:row>12</xdr:row>
      <xdr:rowOff>123825</xdr:rowOff>
    </xdr:from>
    <xdr:to>
      <xdr:col>1</xdr:col>
      <xdr:colOff>581025</xdr:colOff>
      <xdr:row>15</xdr:row>
      <xdr:rowOff>361950</xdr:rowOff>
    </xdr:to>
    <xdr:cxnSp macro="">
      <xdr:nvCxnSpPr>
        <xdr:cNvPr id="8" name="Straight Arrow Connector 7">
          <a:extLst>
            <a:ext uri="{FF2B5EF4-FFF2-40B4-BE49-F238E27FC236}">
              <a16:creationId xmlns:a16="http://schemas.microsoft.com/office/drawing/2014/main" id="{00000000-0008-0000-0500-000008000000}"/>
            </a:ext>
          </a:extLst>
        </xdr:cNvPr>
        <xdr:cNvCxnSpPr/>
      </xdr:nvCxnSpPr>
      <xdr:spPr>
        <a:xfrm flipH="1">
          <a:off x="666750" y="2600325"/>
          <a:ext cx="28575" cy="8096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69</xdr:row>
      <xdr:rowOff>76200</xdr:rowOff>
    </xdr:from>
    <xdr:to>
      <xdr:col>2</xdr:col>
      <xdr:colOff>847725</xdr:colOff>
      <xdr:row>77</xdr:row>
      <xdr:rowOff>152400</xdr:rowOff>
    </xdr:to>
    <xdr:sp macro="" textlink="">
      <xdr:nvSpPr>
        <xdr:cNvPr id="9" name="TextBox 8">
          <a:extLst>
            <a:ext uri="{FF2B5EF4-FFF2-40B4-BE49-F238E27FC236}">
              <a16:creationId xmlns:a16="http://schemas.microsoft.com/office/drawing/2014/main" id="{00000000-0008-0000-0500-000009000000}"/>
            </a:ext>
          </a:extLst>
        </xdr:cNvPr>
        <xdr:cNvSpPr txBox="1"/>
      </xdr:nvSpPr>
      <xdr:spPr>
        <a:xfrm>
          <a:off x="123825" y="13887450"/>
          <a:ext cx="1876425" cy="160020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a:effectLst/>
            </a:rPr>
            <a:t>This</a:t>
          </a:r>
          <a:r>
            <a:rPr lang="en-CA" baseline="0">
              <a:effectLst/>
            </a:rPr>
            <a:t> template is flexible and can plot up to 50 data points, however if there are 50 data points it is highly likely that the points will be clustered and the chart will be illegible. Consider grouping points together or making multiple charts.</a:t>
          </a:r>
          <a:endParaRPr lang="en-CA">
            <a:effectLst/>
          </a:endParaRPr>
        </a:p>
      </xdr:txBody>
    </xdr:sp>
    <xdr:clientData/>
  </xdr:twoCellAnchor>
  <xdr:twoCellAnchor>
    <xdr:from>
      <xdr:col>1</xdr:col>
      <xdr:colOff>752476</xdr:colOff>
      <xdr:row>67</xdr:row>
      <xdr:rowOff>19050</xdr:rowOff>
    </xdr:from>
    <xdr:to>
      <xdr:col>1</xdr:col>
      <xdr:colOff>947738</xdr:colOff>
      <xdr:row>69</xdr:row>
      <xdr:rowOff>76200</xdr:rowOff>
    </xdr:to>
    <xdr:cxnSp macro="">
      <xdr:nvCxnSpPr>
        <xdr:cNvPr id="10" name="Straight Arrow Connector 9">
          <a:extLst>
            <a:ext uri="{FF2B5EF4-FFF2-40B4-BE49-F238E27FC236}">
              <a16:creationId xmlns:a16="http://schemas.microsoft.com/office/drawing/2014/main" id="{00000000-0008-0000-0500-00000A000000}"/>
            </a:ext>
          </a:extLst>
        </xdr:cNvPr>
        <xdr:cNvCxnSpPr>
          <a:stCxn id="9" idx="0"/>
        </xdr:cNvCxnSpPr>
      </xdr:nvCxnSpPr>
      <xdr:spPr>
        <a:xfrm flipH="1" flipV="1">
          <a:off x="866776" y="13449300"/>
          <a:ext cx="195262" cy="4381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161925</xdr:colOff>
      <xdr:row>38</xdr:row>
      <xdr:rowOff>104775</xdr:rowOff>
    </xdr:from>
    <xdr:to>
      <xdr:col>27</xdr:col>
      <xdr:colOff>19050</xdr:colOff>
      <xdr:row>42</xdr:row>
      <xdr:rowOff>142875</xdr:rowOff>
    </xdr:to>
    <xdr:sp macro="" textlink="">
      <xdr:nvSpPr>
        <xdr:cNvPr id="11" name="TextBox 10">
          <a:extLst>
            <a:ext uri="{FF2B5EF4-FFF2-40B4-BE49-F238E27FC236}">
              <a16:creationId xmlns:a16="http://schemas.microsoft.com/office/drawing/2014/main" id="{00000000-0008-0000-0500-00000B000000}"/>
            </a:ext>
          </a:extLst>
        </xdr:cNvPr>
        <xdr:cNvSpPr txBox="1"/>
      </xdr:nvSpPr>
      <xdr:spPr>
        <a:xfrm>
          <a:off x="5486400" y="8010525"/>
          <a:ext cx="2876550" cy="80010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b="0">
              <a:effectLst/>
            </a:rPr>
            <a:t>Is the colour</a:t>
          </a:r>
          <a:r>
            <a:rPr lang="en-CA" b="0" baseline="0">
              <a:effectLst/>
            </a:rPr>
            <a:t> scheme not right? Does the axis run too long? Want to change the Legend labels? Check out the formatting tab.</a:t>
          </a:r>
          <a:endParaRPr lang="en-CA" b="0">
            <a:effectLst/>
          </a:endParaRPr>
        </a:p>
      </xdr:txBody>
    </xdr:sp>
    <xdr:clientData/>
  </xdr:twoCellAnchor>
  <xdr:twoCellAnchor>
    <xdr:from>
      <xdr:col>22</xdr:col>
      <xdr:colOff>876300</xdr:colOff>
      <xdr:row>35</xdr:row>
      <xdr:rowOff>85725</xdr:rowOff>
    </xdr:from>
    <xdr:to>
      <xdr:col>22</xdr:col>
      <xdr:colOff>923925</xdr:colOff>
      <xdr:row>38</xdr:row>
      <xdr:rowOff>95250</xdr:rowOff>
    </xdr:to>
    <xdr:cxnSp macro="">
      <xdr:nvCxnSpPr>
        <xdr:cNvPr id="12" name="Straight Arrow Connector 11">
          <a:extLst>
            <a:ext uri="{FF2B5EF4-FFF2-40B4-BE49-F238E27FC236}">
              <a16:creationId xmlns:a16="http://schemas.microsoft.com/office/drawing/2014/main" id="{00000000-0008-0000-0500-00000C000000}"/>
            </a:ext>
          </a:extLst>
        </xdr:cNvPr>
        <xdr:cNvCxnSpPr/>
      </xdr:nvCxnSpPr>
      <xdr:spPr>
        <a:xfrm flipH="1" flipV="1">
          <a:off x="6200775" y="7419975"/>
          <a:ext cx="47625" cy="5810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504825</xdr:colOff>
      <xdr:row>1</xdr:row>
      <xdr:rowOff>123825</xdr:rowOff>
    </xdr:from>
    <xdr:to>
      <xdr:col>32</xdr:col>
      <xdr:colOff>142875</xdr:colOff>
      <xdr:row>5</xdr:row>
      <xdr:rowOff>163875</xdr:rowOff>
    </xdr:to>
    <xdr:sp macro="" textlink="">
      <xdr:nvSpPr>
        <xdr:cNvPr id="13" name="TextBox 12">
          <a:extLst>
            <a:ext uri="{FF2B5EF4-FFF2-40B4-BE49-F238E27FC236}">
              <a16:creationId xmlns:a16="http://schemas.microsoft.com/office/drawing/2014/main" id="{00000000-0008-0000-0500-00000D000000}"/>
            </a:ext>
          </a:extLst>
        </xdr:cNvPr>
        <xdr:cNvSpPr txBox="1"/>
      </xdr:nvSpPr>
      <xdr:spPr>
        <a:xfrm>
          <a:off x="8848725" y="314325"/>
          <a:ext cx="2686050" cy="99255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a:t>The dynamic list below</a:t>
          </a:r>
          <a:r>
            <a:rPr lang="en-CA" sz="1100" baseline="0"/>
            <a:t> will update in each quadrant based on the member's responses. Use this section to change the order in which the quadrants are displayed in the list.</a:t>
          </a:r>
          <a:endParaRPr lang="en-CA" sz="1100"/>
        </a:p>
      </xdr:txBody>
    </xdr:sp>
    <xdr:clientData/>
  </xdr:twoCellAnchor>
  <xdr:twoCellAnchor>
    <xdr:from>
      <xdr:col>32</xdr:col>
      <xdr:colOff>142875</xdr:colOff>
      <xdr:row>3</xdr:row>
      <xdr:rowOff>85725</xdr:rowOff>
    </xdr:from>
    <xdr:to>
      <xdr:col>33</xdr:col>
      <xdr:colOff>581025</xdr:colOff>
      <xdr:row>3</xdr:row>
      <xdr:rowOff>85725</xdr:rowOff>
    </xdr:to>
    <xdr:cxnSp macro="">
      <xdr:nvCxnSpPr>
        <xdr:cNvPr id="14" name="Straight Arrow Connector 13">
          <a:extLst>
            <a:ext uri="{FF2B5EF4-FFF2-40B4-BE49-F238E27FC236}">
              <a16:creationId xmlns:a16="http://schemas.microsoft.com/office/drawing/2014/main" id="{00000000-0008-0000-0500-00000E000000}"/>
            </a:ext>
          </a:extLst>
        </xdr:cNvPr>
        <xdr:cNvCxnSpPr/>
      </xdr:nvCxnSpPr>
      <xdr:spPr>
        <a:xfrm>
          <a:off x="11534775" y="847725"/>
          <a:ext cx="7143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428625</xdr:colOff>
      <xdr:row>49</xdr:row>
      <xdr:rowOff>114299</xdr:rowOff>
    </xdr:from>
    <xdr:to>
      <xdr:col>32</xdr:col>
      <xdr:colOff>457200</xdr:colOff>
      <xdr:row>53</xdr:row>
      <xdr:rowOff>180974</xdr:rowOff>
    </xdr:to>
    <xdr:sp macro="" textlink="">
      <xdr:nvSpPr>
        <xdr:cNvPr id="15" name="TextBox 14">
          <a:extLst>
            <a:ext uri="{FF2B5EF4-FFF2-40B4-BE49-F238E27FC236}">
              <a16:creationId xmlns:a16="http://schemas.microsoft.com/office/drawing/2014/main" id="{00000000-0008-0000-0500-00000F000000}"/>
            </a:ext>
          </a:extLst>
        </xdr:cNvPr>
        <xdr:cNvSpPr txBox="1"/>
      </xdr:nvSpPr>
      <xdr:spPr>
        <a:xfrm>
          <a:off x="9382125" y="10115549"/>
          <a:ext cx="2466975" cy="82867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b="0">
              <a:effectLst/>
            </a:rPr>
            <a:t>If the colour scheme no longer matches the graph. Change</a:t>
          </a:r>
          <a:r>
            <a:rPr lang="en-CA" b="0" baseline="0">
              <a:effectLst/>
            </a:rPr>
            <a:t> the colours selected in the conditional formatting rules.</a:t>
          </a:r>
          <a:endParaRPr lang="en-CA" b="0">
            <a:effectLst/>
          </a:endParaRPr>
        </a:p>
      </xdr:txBody>
    </xdr:sp>
    <xdr:clientData/>
  </xdr:twoCellAnchor>
  <xdr:twoCellAnchor>
    <xdr:from>
      <xdr:col>30</xdr:col>
      <xdr:colOff>442913</xdr:colOff>
      <xdr:row>44</xdr:row>
      <xdr:rowOff>76201</xdr:rowOff>
    </xdr:from>
    <xdr:to>
      <xdr:col>34</xdr:col>
      <xdr:colOff>0</xdr:colOff>
      <xdr:row>49</xdr:row>
      <xdr:rowOff>114299</xdr:rowOff>
    </xdr:to>
    <xdr:cxnSp macro="">
      <xdr:nvCxnSpPr>
        <xdr:cNvPr id="16" name="Straight Arrow Connector 15">
          <a:extLst>
            <a:ext uri="{FF2B5EF4-FFF2-40B4-BE49-F238E27FC236}">
              <a16:creationId xmlns:a16="http://schemas.microsoft.com/office/drawing/2014/main" id="{00000000-0008-0000-0500-000010000000}"/>
            </a:ext>
          </a:extLst>
        </xdr:cNvPr>
        <xdr:cNvCxnSpPr>
          <a:stCxn id="15" idx="0"/>
        </xdr:cNvCxnSpPr>
      </xdr:nvCxnSpPr>
      <xdr:spPr>
        <a:xfrm flipV="1">
          <a:off x="10615613" y="9124951"/>
          <a:ext cx="1633537" cy="99059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B5C921-4616-45EB-AE1B-C18815F414AD}" name="Table1345" displayName="Table1345" ref="B6:V28" totalsRowShown="0" headerRowDxfId="43" dataDxfId="41" headerRowBorderDxfId="42" tableBorderDxfId="40" totalsRowBorderDxfId="39" headerRowCellStyle="Normal 2" dataCellStyle="Normal 2">
  <autoFilter ref="B6:V28" xr:uid="{2A0B0893-FC94-41EF-A14B-09557BECBBAE}"/>
  <sortState xmlns:xlrd2="http://schemas.microsoft.com/office/spreadsheetml/2017/richdata2" ref="B7:P28">
    <sortCondition ref="F6:F28"/>
  </sortState>
  <tableColumns count="21">
    <tableColumn id="1" xr3:uid="{09273AA9-A4E1-4A52-95C9-6AFFA5A524ED}" name="Diseño" dataDxfId="38" dataCellStyle="Normal 2"/>
    <tableColumn id="12" xr3:uid="{43A33B32-CA01-41F3-8E8D-601B250099CF}" name="Algoritmo y Modelo" dataDxfId="37" dataCellStyle="Normal 2"/>
    <tableColumn id="11" xr3:uid="{AB8346AF-C650-4D7C-94BC-2F0096B04884}" name="Datos" dataDxfId="36" dataCellStyle="Normal 2"/>
    <tableColumn id="10" xr3:uid="{02F8551E-51A0-4B59-9164-DE7B9958C20B}" name="Operacional" dataDxfId="35" dataCellStyle="Normal 2"/>
    <tableColumn id="2" xr3:uid="{57F872B1-DD25-4BB7-AF46-1FFB0CA75B32}" name="Nivel 2: Riesgos de IA" dataDxfId="34" dataCellStyle="Normal 2"/>
    <tableColumn id="9" xr3:uid="{E4896B1F-C0BA-47C8-95A0-3CA87AAA6BD3}" name="Risk Owner (Person)" dataDxfId="33" dataCellStyle="Normal 2"/>
    <tableColumn id="8" xr3:uid="{5A842A44-E7BF-4BFA-9746-A047B7A13384}" name="Risk Control Status: _x000a_Existing/Acceptable_x000a_Existing/Requires Update_x000a_Non-Existent/Requires New Policy" dataDxfId="32" dataCellStyle="Normal 2"/>
    <tableColumn id="13" xr3:uid="{D66D6372-6D39-4D80-8753-41795BB3EF06}" name="Risk Control Description (i.e. Reference exsting policy, procedures or documents) for existing risk controls, _x000a_For Non-Existent Controls - include name of new required policy, procedure, or document to be created" dataDxfId="31" dataCellStyle="Normal 2"/>
    <tableColumn id="3" xr3:uid="{8B555F62-A0EA-4B09-AB8F-E0AC2B543CA7}" name="Probabilidad Inherente " dataDxfId="30" dataCellStyle="Normal 2"/>
    <tableColumn id="17" xr3:uid="{22227E4C-F8FB-4FB7-8988-F91CFC30B59B}" name="Column1" dataDxfId="29" dataCellStyle="Normal 2"/>
    <tableColumn id="4" xr3:uid="{3C2488D7-762C-4467-A224-D40E2B8DED22}" name="Impacto Inherente" dataDxfId="28" dataCellStyle="Normal 2"/>
    <tableColumn id="18" xr3:uid="{7E78C898-3CD9-4246-9915-0E53B345AD33}" name="Column2" dataDxfId="27" dataCellStyle="Normal 2"/>
    <tableColumn id="5" xr3:uid="{AC4C0AD6-7BE2-4ADE-9CB9-488211B4C8C8}" name="Riesgo Inherente (Probabilidad x Impacto)" dataDxfId="26" dataCellStyle="Normal 2">
      <calculatedColumnFormula>IF(Table1345[[#This Row],[Nivel 2: Riesgos de IA]]="",0,_xlfn.NUMBERVALUE(LEFT(Table1345[[#This Row],[Probabilidad Inherente ]],1))*_xlfn.NUMBERVALUE(LEFT(Table1345[[#This Row],[Impacto Inherente]],1)))</calculatedColumnFormula>
    </tableColumn>
    <tableColumn id="6" xr3:uid="{A03622EC-8626-41C0-9B52-76398B4CAAF7}" name="Respuesta al Riesgo" dataDxfId="25" dataCellStyle="Normal 2"/>
    <tableColumn id="7" xr3:uid="{A32B9261-58BD-442A-B1AE-B3EA0D8E9F09}" name="Controles y Acciones Recomendaciones" dataDxfId="24" dataCellStyle="Normal 2"/>
    <tableColumn id="14" xr3:uid="{3BA8511D-3FA8-4889-B4DE-2C50852ACD10}" name="Probabilidad Residual" dataDxfId="23" dataCellStyle="Normal 2"/>
    <tableColumn id="19" xr3:uid="{A4E7B734-E199-4023-B53E-C9685B812B50}" name="Column3" dataDxfId="22" dataCellStyle="Normal 2"/>
    <tableColumn id="15" xr3:uid="{3C1400E7-705D-48A4-84FC-FEB90E265446}" name="Impacto Residual" dataDxfId="21" dataCellStyle="Normal 2"/>
    <tableColumn id="20" xr3:uid="{4B8C89E2-4005-4C88-8152-829D13246F6B}" name="Column4" dataDxfId="20" dataCellStyle="Normal 2"/>
    <tableColumn id="16" xr3:uid="{3988A183-DC9F-494E-AB03-50A22CAD3318}" name="Riesgo Residual " dataDxfId="19" dataCellStyle="Normal 2">
      <calculatedColumnFormula>IF(Table1345[[#This Row],[Nivel 2: Riesgos de IA]]="",0,_xlfn.NUMBERVALUE(LEFT(Table1345[[#This Row],[Probabilidad Residual]],1))*_xlfn.NUMBERVALUE(LEFT(Table1345[[#This Row],[Impacto Residual]],1)))</calculatedColumnFormula>
    </tableColumn>
    <tableColumn id="21" xr3:uid="{03075346-B335-430C-B1F3-B995465C0EDD}" name="Reducción del Riesgo" dataDxfId="18" dataCellStyle="Normal 2">
      <calculatedColumnFormula>Table1345[[#This Row],[Riesgo Inherente (Probabilidad x Impacto)]]-Table1345[[#This Row],[Riesgo Residual ]]</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ITRG Current">
      <a:dk1>
        <a:srgbClr val="333333"/>
      </a:dk1>
      <a:lt1>
        <a:srgbClr val="FFFFFF"/>
      </a:lt1>
      <a:dk2>
        <a:srgbClr val="222222"/>
      </a:dk2>
      <a:lt2>
        <a:srgbClr val="EEEEEE"/>
      </a:lt2>
      <a:accent1>
        <a:srgbClr val="29475F"/>
      </a:accent1>
      <a:accent2>
        <a:srgbClr val="6293BB"/>
      </a:accent2>
      <a:accent3>
        <a:srgbClr val="CADAE8"/>
      </a:accent3>
      <a:accent4>
        <a:srgbClr val="CED990"/>
      </a:accent4>
      <a:accent5>
        <a:srgbClr val="D6D6D6"/>
      </a:accent5>
      <a:accent6>
        <a:srgbClr val="FFFFFF"/>
      </a:accent6>
      <a:hlink>
        <a:srgbClr val="2576B7"/>
      </a:hlink>
      <a:folHlink>
        <a:srgbClr val="C77709"/>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AB30"/>
  <sheetViews>
    <sheetView showGridLines="0" zoomScaleNormal="100" workbookViewId="0"/>
  </sheetViews>
  <sheetFormatPr defaultColWidth="9.140625" defaultRowHeight="15" x14ac:dyDescent="0.25"/>
  <cols>
    <col min="1" max="1" width="2.85546875" style="3" customWidth="1"/>
    <col min="2" max="6" width="9.140625" style="3"/>
    <col min="7" max="7" width="2.42578125" style="3" bestFit="1" customWidth="1"/>
    <col min="8" max="12" width="9.140625" style="3"/>
    <col min="13" max="13" width="2.5703125" style="3" bestFit="1" customWidth="1"/>
    <col min="14" max="18" width="9.140625" style="3"/>
    <col min="19" max="19" width="2.5703125" style="3" bestFit="1" customWidth="1"/>
    <col min="20" max="16384" width="9.140625" style="3"/>
  </cols>
  <sheetData>
    <row r="1" spans="1:28" ht="15" customHeight="1" x14ac:dyDescent="0.25">
      <c r="A1" s="2"/>
      <c r="B1" s="2"/>
      <c r="C1" s="2"/>
      <c r="D1" s="2"/>
      <c r="E1" s="2"/>
      <c r="F1" s="2"/>
      <c r="G1" s="2"/>
      <c r="H1" s="2"/>
      <c r="I1" s="2"/>
      <c r="J1" s="2"/>
      <c r="K1" s="2"/>
      <c r="L1" s="2"/>
      <c r="M1" s="2"/>
      <c r="N1" s="2"/>
      <c r="O1" s="2"/>
      <c r="P1" s="2"/>
      <c r="Q1" s="2"/>
      <c r="R1" s="2"/>
      <c r="S1" s="2"/>
      <c r="T1" s="2"/>
      <c r="U1" s="2"/>
      <c r="V1" s="2"/>
      <c r="W1" s="2"/>
      <c r="X1" s="2"/>
      <c r="Y1" s="2"/>
      <c r="Z1" s="2"/>
      <c r="AA1" s="2"/>
      <c r="AB1" s="2"/>
    </row>
    <row r="2" spans="1:28" ht="33.75" customHeight="1" x14ac:dyDescent="0.25">
      <c r="A2" s="2"/>
      <c r="B2" s="131" t="s">
        <v>0</v>
      </c>
      <c r="C2" s="132"/>
      <c r="D2" s="132"/>
      <c r="E2" s="132"/>
      <c r="F2" s="132"/>
      <c r="G2" s="132"/>
      <c r="H2" s="132"/>
      <c r="I2" s="132"/>
      <c r="J2" s="132"/>
      <c r="K2" s="132"/>
      <c r="L2" s="132"/>
      <c r="M2" s="132"/>
      <c r="N2" s="132"/>
      <c r="O2" s="132"/>
      <c r="P2" s="132"/>
      <c r="Q2" s="132"/>
      <c r="R2" s="132"/>
      <c r="S2" s="132"/>
      <c r="T2" s="132"/>
      <c r="U2" s="132"/>
      <c r="V2" s="132"/>
      <c r="W2" s="132"/>
      <c r="X2" s="133"/>
      <c r="Y2" s="2"/>
      <c r="Z2" s="2"/>
      <c r="AA2" s="2"/>
      <c r="AB2" s="2"/>
    </row>
    <row r="3" spans="1:28" x14ac:dyDescent="0.25">
      <c r="A3" s="2"/>
      <c r="B3" s="2"/>
      <c r="C3" s="2"/>
      <c r="D3" s="2"/>
      <c r="E3" s="2"/>
      <c r="F3" s="2"/>
      <c r="G3" s="2"/>
      <c r="H3" s="2"/>
      <c r="I3" s="2"/>
      <c r="J3" s="2"/>
      <c r="K3" s="2"/>
      <c r="L3" s="2"/>
      <c r="M3" s="2"/>
      <c r="N3" s="2"/>
      <c r="O3" s="2"/>
      <c r="P3" s="2"/>
      <c r="Q3" s="2"/>
      <c r="R3" s="2"/>
      <c r="S3" s="2"/>
      <c r="T3" s="2"/>
      <c r="U3" s="2"/>
      <c r="V3" s="2"/>
      <c r="W3" s="2"/>
      <c r="X3" s="2"/>
      <c r="Y3" s="2"/>
      <c r="Z3" s="2"/>
      <c r="AA3" s="2"/>
      <c r="AB3" s="2"/>
    </row>
    <row r="4" spans="1:28" x14ac:dyDescent="0.25">
      <c r="A4" s="2"/>
      <c r="B4" s="134" t="s">
        <v>1</v>
      </c>
      <c r="C4" s="134"/>
      <c r="D4" s="134"/>
      <c r="E4" s="134"/>
      <c r="F4" s="134"/>
      <c r="G4" s="134"/>
      <c r="H4" s="134"/>
      <c r="I4" s="134"/>
      <c r="J4" s="134"/>
      <c r="K4" s="134"/>
      <c r="L4" s="134"/>
      <c r="M4" s="134"/>
      <c r="N4" s="134"/>
      <c r="O4" s="134"/>
      <c r="P4" s="134"/>
      <c r="Q4" s="134"/>
      <c r="R4" s="134"/>
      <c r="S4" s="134"/>
      <c r="T4" s="134"/>
      <c r="U4" s="134"/>
      <c r="V4" s="134"/>
      <c r="W4" s="134"/>
      <c r="X4" s="134"/>
      <c r="Y4" s="2"/>
      <c r="Z4" s="2"/>
      <c r="AA4" s="2"/>
      <c r="AB4" s="2"/>
    </row>
    <row r="5" spans="1:28" x14ac:dyDescent="0.25">
      <c r="A5" s="2"/>
      <c r="B5" s="2"/>
      <c r="C5" s="135" t="s">
        <v>2</v>
      </c>
      <c r="D5" s="135"/>
      <c r="E5" s="135"/>
      <c r="F5" s="2"/>
      <c r="G5" s="2"/>
      <c r="H5" s="2"/>
      <c r="I5" s="135" t="s">
        <v>3</v>
      </c>
      <c r="J5" s="135"/>
      <c r="K5" s="135"/>
      <c r="L5" s="2"/>
      <c r="M5" s="2"/>
      <c r="N5" s="2"/>
      <c r="O5" s="135" t="s">
        <v>4</v>
      </c>
      <c r="P5" s="135"/>
      <c r="Q5" s="135"/>
      <c r="R5" s="2"/>
      <c r="S5" s="2"/>
      <c r="T5" s="2"/>
      <c r="U5" s="135" t="s">
        <v>5</v>
      </c>
      <c r="V5" s="135"/>
      <c r="W5" s="135"/>
      <c r="X5" s="2"/>
      <c r="Y5" s="2"/>
      <c r="Z5" s="2"/>
      <c r="AA5" s="2"/>
      <c r="AB5" s="2"/>
    </row>
    <row r="6" spans="1:28" x14ac:dyDescent="0.25">
      <c r="A6" s="2"/>
      <c r="B6" s="4"/>
      <c r="C6" s="5"/>
      <c r="D6" s="6"/>
      <c r="E6" s="7"/>
      <c r="F6" s="8"/>
      <c r="G6" s="2"/>
      <c r="H6" s="9"/>
      <c r="I6" s="10"/>
      <c r="J6" s="11"/>
      <c r="K6" s="12"/>
      <c r="L6" s="13"/>
      <c r="M6" s="2"/>
      <c r="N6" s="14"/>
      <c r="O6" s="15"/>
      <c r="P6" s="16"/>
      <c r="Q6" s="17"/>
      <c r="R6" s="18"/>
      <c r="S6" s="2"/>
      <c r="T6" s="19"/>
      <c r="U6" s="20"/>
      <c r="V6" s="21"/>
      <c r="W6" s="22"/>
      <c r="X6" s="23"/>
      <c r="Y6" s="2"/>
      <c r="Z6" s="2"/>
      <c r="AA6" s="2"/>
      <c r="AB6" s="2"/>
    </row>
    <row r="7" spans="1:28" x14ac:dyDescent="0.25">
      <c r="A7" s="2"/>
      <c r="B7" s="4"/>
      <c r="C7" s="5"/>
      <c r="D7" s="6"/>
      <c r="E7" s="7"/>
      <c r="F7" s="8"/>
      <c r="G7" s="2"/>
      <c r="H7" s="9"/>
      <c r="I7" s="10"/>
      <c r="J7" s="11"/>
      <c r="K7" s="12"/>
      <c r="L7" s="13"/>
      <c r="M7" s="2"/>
      <c r="N7" s="14"/>
      <c r="O7" s="15"/>
      <c r="P7" s="16"/>
      <c r="Q7" s="17"/>
      <c r="R7" s="18"/>
      <c r="S7" s="2"/>
      <c r="T7" s="19"/>
      <c r="U7" s="20"/>
      <c r="V7" s="21"/>
      <c r="W7" s="22"/>
      <c r="X7" s="23"/>
      <c r="Y7" s="2"/>
      <c r="Z7" s="2"/>
      <c r="AA7" s="2"/>
      <c r="AB7" s="2"/>
    </row>
    <row r="8" spans="1:28" x14ac:dyDescent="0.25">
      <c r="A8" s="2" t="s">
        <v>6</v>
      </c>
      <c r="B8" s="2">
        <v>156</v>
      </c>
      <c r="C8" s="2">
        <v>123</v>
      </c>
      <c r="D8" s="2">
        <v>90</v>
      </c>
      <c r="E8" s="2">
        <v>63</v>
      </c>
      <c r="F8" s="2">
        <v>45</v>
      </c>
      <c r="G8" s="2" t="s">
        <v>6</v>
      </c>
      <c r="H8" s="2">
        <v>102</v>
      </c>
      <c r="I8" s="2">
        <v>51</v>
      </c>
      <c r="J8" s="2">
        <v>0</v>
      </c>
      <c r="K8" s="2">
        <v>0</v>
      </c>
      <c r="L8" s="2">
        <v>0</v>
      </c>
      <c r="M8" s="2" t="s">
        <v>6</v>
      </c>
      <c r="N8" s="2">
        <v>162</v>
      </c>
      <c r="O8" s="2">
        <v>130</v>
      </c>
      <c r="P8" s="2">
        <v>97</v>
      </c>
      <c r="Q8" s="2">
        <v>65</v>
      </c>
      <c r="R8" s="2">
        <v>32</v>
      </c>
      <c r="S8" s="2" t="s">
        <v>6</v>
      </c>
      <c r="T8" s="2">
        <v>232</v>
      </c>
      <c r="U8" s="2">
        <v>225</v>
      </c>
      <c r="V8" s="2">
        <v>217</v>
      </c>
      <c r="W8" s="2">
        <v>204</v>
      </c>
      <c r="X8" s="2">
        <v>172</v>
      </c>
      <c r="Y8" s="2"/>
      <c r="Z8" s="2"/>
      <c r="AA8" s="2"/>
      <c r="AB8" s="2"/>
    </row>
    <row r="9" spans="1:28" x14ac:dyDescent="0.25">
      <c r="A9" s="2" t="s">
        <v>7</v>
      </c>
      <c r="B9" s="2">
        <v>177</v>
      </c>
      <c r="C9" s="2">
        <v>151</v>
      </c>
      <c r="D9" s="2">
        <v>125</v>
      </c>
      <c r="E9" s="2">
        <v>88</v>
      </c>
      <c r="F9" s="2">
        <v>62</v>
      </c>
      <c r="G9" s="2" t="s">
        <v>7</v>
      </c>
      <c r="H9" s="2">
        <v>173</v>
      </c>
      <c r="I9" s="2">
        <v>145</v>
      </c>
      <c r="J9" s="2">
        <v>118</v>
      </c>
      <c r="K9" s="2">
        <v>94</v>
      </c>
      <c r="L9" s="2">
        <v>71</v>
      </c>
      <c r="M9" s="2" t="s">
        <v>7</v>
      </c>
      <c r="N9" s="2">
        <v>65</v>
      </c>
      <c r="O9" s="2">
        <v>52</v>
      </c>
      <c r="P9" s="2">
        <v>39</v>
      </c>
      <c r="Q9" s="2">
        <v>26</v>
      </c>
      <c r="R9" s="2">
        <v>13</v>
      </c>
      <c r="S9" s="2" t="s">
        <v>7</v>
      </c>
      <c r="T9" s="2">
        <v>199</v>
      </c>
      <c r="U9" s="2">
        <v>181</v>
      </c>
      <c r="V9" s="2">
        <v>162</v>
      </c>
      <c r="W9" s="2">
        <v>146</v>
      </c>
      <c r="X9" s="2">
        <v>115</v>
      </c>
      <c r="Y9" s="2"/>
      <c r="Z9" s="2"/>
      <c r="AA9" s="2"/>
      <c r="AB9" s="2"/>
    </row>
    <row r="10" spans="1:28" x14ac:dyDescent="0.25">
      <c r="A10" s="2" t="s">
        <v>8</v>
      </c>
      <c r="B10" s="2">
        <v>141</v>
      </c>
      <c r="C10" s="2">
        <v>103</v>
      </c>
      <c r="D10" s="2">
        <v>65</v>
      </c>
      <c r="E10" s="2">
        <v>46</v>
      </c>
      <c r="F10" s="2">
        <v>32</v>
      </c>
      <c r="G10" s="2" t="s">
        <v>8</v>
      </c>
      <c r="H10" s="2">
        <v>193</v>
      </c>
      <c r="I10" s="2">
        <v>173</v>
      </c>
      <c r="J10" s="2">
        <v>152</v>
      </c>
      <c r="K10" s="2">
        <v>122</v>
      </c>
      <c r="L10" s="2">
        <v>91</v>
      </c>
      <c r="M10" s="2" t="s">
        <v>8</v>
      </c>
      <c r="N10" s="2">
        <v>48</v>
      </c>
      <c r="O10" s="2">
        <v>38</v>
      </c>
      <c r="P10" s="2">
        <v>29</v>
      </c>
      <c r="Q10" s="2">
        <v>19</v>
      </c>
      <c r="R10" s="2">
        <v>10</v>
      </c>
      <c r="S10" s="2" t="s">
        <v>8</v>
      </c>
      <c r="T10" s="2">
        <v>112</v>
      </c>
      <c r="U10" s="2">
        <v>64</v>
      </c>
      <c r="V10" s="2">
        <v>16</v>
      </c>
      <c r="W10" s="2">
        <v>0</v>
      </c>
      <c r="X10" s="2">
        <v>0</v>
      </c>
      <c r="Y10" s="2"/>
      <c r="Z10" s="2"/>
      <c r="AA10" s="2"/>
      <c r="AB10" s="2"/>
    </row>
    <row r="11" spans="1:28" x14ac:dyDescent="0.2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spans="1:28" x14ac:dyDescent="0.25">
      <c r="A12" s="2"/>
      <c r="B12" s="24"/>
      <c r="C12" s="25"/>
      <c r="D12" s="26"/>
      <c r="E12" s="27"/>
      <c r="F12" s="28"/>
      <c r="G12" s="2"/>
      <c r="H12" s="29"/>
      <c r="I12" s="30"/>
      <c r="J12" s="31"/>
      <c r="K12" s="32"/>
      <c r="L12" s="33"/>
      <c r="M12" s="2"/>
      <c r="N12" s="34"/>
      <c r="O12" s="35"/>
      <c r="P12" s="36"/>
      <c r="Q12" s="37"/>
      <c r="R12" s="38"/>
      <c r="S12" s="2"/>
      <c r="T12" s="2"/>
      <c r="U12" s="2"/>
      <c r="V12" s="2"/>
      <c r="W12" s="2"/>
      <c r="X12" s="2"/>
      <c r="Y12" s="2"/>
      <c r="Z12" s="2"/>
      <c r="AA12" s="2"/>
      <c r="AB12" s="2"/>
    </row>
    <row r="13" spans="1:28" x14ac:dyDescent="0.25">
      <c r="A13" s="2"/>
      <c r="B13" s="24"/>
      <c r="C13" s="25"/>
      <c r="D13" s="26"/>
      <c r="E13" s="27"/>
      <c r="F13" s="28"/>
      <c r="G13" s="2"/>
      <c r="H13" s="29"/>
      <c r="I13" s="30"/>
      <c r="J13" s="31"/>
      <c r="K13" s="32"/>
      <c r="L13" s="33"/>
      <c r="M13" s="2"/>
      <c r="N13" s="34"/>
      <c r="O13" s="35"/>
      <c r="P13" s="36"/>
      <c r="Q13" s="37"/>
      <c r="R13" s="38"/>
      <c r="S13" s="2"/>
      <c r="T13" s="2"/>
      <c r="U13" s="2"/>
      <c r="V13" s="2"/>
      <c r="W13" s="2"/>
      <c r="X13" s="2"/>
      <c r="Y13" s="2"/>
      <c r="Z13" s="2"/>
      <c r="AA13" s="2"/>
      <c r="AB13" s="2"/>
    </row>
    <row r="14" spans="1:28" x14ac:dyDescent="0.25">
      <c r="A14" s="2" t="s">
        <v>6</v>
      </c>
      <c r="B14" s="2">
        <v>176</v>
      </c>
      <c r="C14" s="2">
        <v>113</v>
      </c>
      <c r="D14" s="2">
        <v>43</v>
      </c>
      <c r="E14" s="2">
        <v>34</v>
      </c>
      <c r="F14" s="2">
        <v>26</v>
      </c>
      <c r="G14" s="2" t="s">
        <v>6</v>
      </c>
      <c r="H14" s="2">
        <v>127</v>
      </c>
      <c r="I14" s="2">
        <v>84</v>
      </c>
      <c r="J14" s="2">
        <v>41</v>
      </c>
      <c r="K14" s="2">
        <v>33</v>
      </c>
      <c r="L14" s="2">
        <v>25</v>
      </c>
      <c r="M14" s="2" t="s">
        <v>6</v>
      </c>
      <c r="N14" s="2">
        <v>178</v>
      </c>
      <c r="O14" s="2">
        <v>176</v>
      </c>
      <c r="P14" s="2">
        <v>165</v>
      </c>
      <c r="Q14" s="2">
        <v>148</v>
      </c>
      <c r="R14" s="2">
        <v>130</v>
      </c>
      <c r="S14" s="2"/>
      <c r="T14" s="2"/>
      <c r="U14" s="2"/>
      <c r="V14" s="2"/>
      <c r="W14" s="2"/>
      <c r="X14" s="2"/>
      <c r="Y14" s="2"/>
      <c r="Z14" s="2"/>
      <c r="AA14" s="2"/>
      <c r="AB14" s="2"/>
    </row>
    <row r="15" spans="1:28" x14ac:dyDescent="0.25">
      <c r="A15" s="2" t="s">
        <v>7</v>
      </c>
      <c r="B15" s="2">
        <v>197</v>
      </c>
      <c r="C15" s="2">
        <v>177</v>
      </c>
      <c r="D15" s="2">
        <v>158</v>
      </c>
      <c r="E15" s="2">
        <v>126</v>
      </c>
      <c r="F15" s="2">
        <v>95</v>
      </c>
      <c r="G15" s="2" t="s">
        <v>7</v>
      </c>
      <c r="H15" s="2">
        <v>145</v>
      </c>
      <c r="I15" s="2">
        <v>108</v>
      </c>
      <c r="J15" s="2">
        <v>71</v>
      </c>
      <c r="K15" s="2">
        <v>57</v>
      </c>
      <c r="L15" s="2">
        <v>43</v>
      </c>
      <c r="M15" s="2" t="s">
        <v>7</v>
      </c>
      <c r="N15" s="2">
        <v>95</v>
      </c>
      <c r="O15" s="2">
        <v>56</v>
      </c>
      <c r="P15" s="2">
        <v>45</v>
      </c>
      <c r="Q15" s="2">
        <v>62</v>
      </c>
      <c r="R15" s="2">
        <v>51</v>
      </c>
      <c r="S15" s="2"/>
      <c r="T15" s="2"/>
      <c r="U15" s="2"/>
      <c r="V15" s="2"/>
      <c r="W15" s="2"/>
      <c r="X15" s="2"/>
      <c r="Y15" s="2"/>
      <c r="Z15" s="2"/>
      <c r="AA15" s="2"/>
      <c r="AB15" s="2"/>
    </row>
    <row r="16" spans="1:28" x14ac:dyDescent="0.25">
      <c r="A16" s="2" t="s">
        <v>8</v>
      </c>
      <c r="B16" s="2">
        <v>52</v>
      </c>
      <c r="C16" s="2">
        <v>45</v>
      </c>
      <c r="D16" s="2">
        <v>54</v>
      </c>
      <c r="E16" s="2">
        <v>43</v>
      </c>
      <c r="F16" s="2">
        <v>32</v>
      </c>
      <c r="G16" s="2" t="s">
        <v>8</v>
      </c>
      <c r="H16" s="2">
        <v>159</v>
      </c>
      <c r="I16" s="2">
        <v>127</v>
      </c>
      <c r="J16" s="2">
        <v>95</v>
      </c>
      <c r="K16" s="2">
        <v>76</v>
      </c>
      <c r="L16" s="2">
        <v>57</v>
      </c>
      <c r="M16" s="2" t="s">
        <v>8</v>
      </c>
      <c r="N16" s="2">
        <v>95</v>
      </c>
      <c r="O16" s="2">
        <v>56</v>
      </c>
      <c r="P16" s="2">
        <v>45</v>
      </c>
      <c r="Q16" s="2">
        <v>62</v>
      </c>
      <c r="R16" s="2">
        <v>38</v>
      </c>
      <c r="S16" s="2"/>
      <c r="T16" s="2"/>
      <c r="U16" s="2"/>
      <c r="V16" s="2"/>
      <c r="W16" s="2"/>
      <c r="X16" s="2"/>
      <c r="Y16" s="2"/>
      <c r="Z16" s="2"/>
      <c r="AA16" s="2"/>
      <c r="AB16" s="2"/>
    </row>
    <row r="17" spans="1:28" x14ac:dyDescent="0.2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spans="1:28" x14ac:dyDescent="0.2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spans="1:28" x14ac:dyDescent="0.2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spans="1:28"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spans="1:28" x14ac:dyDescent="0.2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spans="1:28"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spans="1:28"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spans="1:28"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spans="1:28"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spans="1:28"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spans="1:28"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spans="1:28"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spans="1:28"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spans="1:28"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sheetData>
  <mergeCells count="6">
    <mergeCell ref="B2:X2"/>
    <mergeCell ref="B4:X4"/>
    <mergeCell ref="C5:E5"/>
    <mergeCell ref="I5:K5"/>
    <mergeCell ref="O5:Q5"/>
    <mergeCell ref="U5:W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P26"/>
  <sheetViews>
    <sheetView showGridLines="0" zoomScaleNormal="100" workbookViewId="0"/>
  </sheetViews>
  <sheetFormatPr defaultColWidth="9.140625" defaultRowHeight="12.75" x14ac:dyDescent="0.2"/>
  <cols>
    <col min="1" max="1" width="2.85546875" style="1" customWidth="1"/>
    <col min="2" max="2" width="18.5703125" style="1" customWidth="1"/>
    <col min="3" max="3" width="16" style="1" bestFit="1" customWidth="1"/>
    <col min="4" max="16384" width="9.140625" style="1"/>
  </cols>
  <sheetData>
    <row r="1" spans="2:16" ht="15" customHeight="1" x14ac:dyDescent="0.2"/>
    <row r="2" spans="2:16" ht="33.75" customHeight="1" x14ac:dyDescent="0.2">
      <c r="B2" s="137" t="s">
        <v>9</v>
      </c>
      <c r="C2" s="138"/>
      <c r="D2" s="138"/>
      <c r="E2" s="138"/>
      <c r="F2" s="138"/>
      <c r="G2" s="138"/>
      <c r="H2" s="138"/>
      <c r="I2" s="138"/>
      <c r="J2" s="138"/>
      <c r="K2" s="139"/>
    </row>
    <row r="4" spans="2:16" x14ac:dyDescent="0.2">
      <c r="B4" s="136" t="s">
        <v>10</v>
      </c>
      <c r="C4" s="136"/>
      <c r="D4" s="136"/>
      <c r="E4" s="136"/>
      <c r="F4" s="136"/>
      <c r="G4" s="136"/>
      <c r="H4" s="136"/>
      <c r="I4" s="136"/>
      <c r="J4" s="136"/>
      <c r="K4" s="136"/>
      <c r="L4" s="136"/>
      <c r="M4" s="136"/>
      <c r="N4" s="136"/>
      <c r="O4" s="136"/>
      <c r="P4" s="136"/>
    </row>
    <row r="6" spans="2:16" x14ac:dyDescent="0.2">
      <c r="B6" s="46" t="s">
        <v>11</v>
      </c>
    </row>
    <row r="7" spans="2:16" x14ac:dyDescent="0.2">
      <c r="B7" s="39" t="s">
        <v>12</v>
      </c>
    </row>
    <row r="8" spans="2:16" x14ac:dyDescent="0.2">
      <c r="B8" s="39" t="s">
        <v>13</v>
      </c>
    </row>
    <row r="9" spans="2:16" x14ac:dyDescent="0.2">
      <c r="B9" s="39"/>
    </row>
    <row r="10" spans="2:16" x14ac:dyDescent="0.2">
      <c r="B10" s="46" t="s">
        <v>14</v>
      </c>
      <c r="C10" s="47" t="s">
        <v>15</v>
      </c>
    </row>
    <row r="11" spans="2:16" x14ac:dyDescent="0.2">
      <c r="B11" s="39" t="s">
        <v>16</v>
      </c>
    </row>
    <row r="12" spans="2:16" x14ac:dyDescent="0.2">
      <c r="B12" s="39"/>
    </row>
    <row r="13" spans="2:16" x14ac:dyDescent="0.2">
      <c r="B13" s="46" t="s">
        <v>17</v>
      </c>
      <c r="C13" s="48" t="s">
        <v>18</v>
      </c>
    </row>
    <row r="14" spans="2:16" x14ac:dyDescent="0.2">
      <c r="B14" s="39" t="s">
        <v>19</v>
      </c>
    </row>
    <row r="15" spans="2:16" x14ac:dyDescent="0.2">
      <c r="B15" s="39" t="s">
        <v>20</v>
      </c>
    </row>
    <row r="16" spans="2:16" ht="12" customHeight="1" x14ac:dyDescent="0.2">
      <c r="B16" s="39"/>
    </row>
    <row r="17" spans="2:3" x14ac:dyDescent="0.2">
      <c r="B17" s="46" t="s">
        <v>21</v>
      </c>
      <c r="C17" s="49" t="s">
        <v>22</v>
      </c>
    </row>
    <row r="18" spans="2:3" x14ac:dyDescent="0.2">
      <c r="B18" s="39" t="s">
        <v>23</v>
      </c>
    </row>
    <row r="19" spans="2:3" x14ac:dyDescent="0.2">
      <c r="B19" s="39" t="s">
        <v>24</v>
      </c>
    </row>
    <row r="20" spans="2:3" x14ac:dyDescent="0.2">
      <c r="B20" s="39"/>
    </row>
    <row r="21" spans="2:3" x14ac:dyDescent="0.2">
      <c r="B21" s="46" t="s">
        <v>25</v>
      </c>
      <c r="C21" s="55" t="s">
        <v>26</v>
      </c>
    </row>
    <row r="22" spans="2:3" x14ac:dyDescent="0.2">
      <c r="B22" s="39" t="s">
        <v>27</v>
      </c>
    </row>
    <row r="23" spans="2:3" x14ac:dyDescent="0.2">
      <c r="B23" s="39" t="s">
        <v>28</v>
      </c>
    </row>
    <row r="24" spans="2:3" x14ac:dyDescent="0.2">
      <c r="B24" s="39"/>
    </row>
    <row r="25" spans="2:3" x14ac:dyDescent="0.2">
      <c r="B25" s="46" t="s">
        <v>29</v>
      </c>
      <c r="C25" s="50" t="s">
        <v>30</v>
      </c>
    </row>
    <row r="26" spans="2:3" x14ac:dyDescent="0.2">
      <c r="B26" s="39" t="s">
        <v>31</v>
      </c>
    </row>
  </sheetData>
  <mergeCells count="2">
    <mergeCell ref="B4:P4"/>
    <mergeCell ref="B2:K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5EE21-0AB7-463F-A7BE-E00CD3C20702}">
  <dimension ref="B1:V28"/>
  <sheetViews>
    <sheetView showGridLines="0" zoomScale="60" zoomScaleNormal="60" workbookViewId="0">
      <pane xSplit="6" ySplit="6" topLeftCell="J18" activePane="bottomRight" state="frozen"/>
      <selection pane="topRight" activeCell="G1" sqref="G1"/>
      <selection pane="bottomLeft" activeCell="A8" sqref="A8"/>
      <selection pane="bottomRight" activeCell="B2" sqref="B2:Q2"/>
    </sheetView>
  </sheetViews>
  <sheetFormatPr defaultColWidth="9.140625" defaultRowHeight="12.75" x14ac:dyDescent="0.2"/>
  <cols>
    <col min="1" max="1" width="2.85546875" style="1" customWidth="1"/>
    <col min="2" max="5" width="6.42578125" style="74" customWidth="1"/>
    <col min="6" max="6" width="53.140625" style="1" customWidth="1"/>
    <col min="7" max="7" width="24.140625" style="1" hidden="1" customWidth="1"/>
    <col min="8" max="8" width="39" style="1" hidden="1" customWidth="1"/>
    <col min="9" max="9" width="64.28515625" style="1" hidden="1" customWidth="1"/>
    <col min="10" max="10" width="18.5703125" style="1" customWidth="1"/>
    <col min="11" max="11" width="4.85546875" style="1" customWidth="1"/>
    <col min="12" max="12" width="16.140625" style="1" customWidth="1"/>
    <col min="13" max="13" width="5.140625" style="1" customWidth="1"/>
    <col min="14" max="14" width="22.85546875" style="74" customWidth="1"/>
    <col min="15" max="15" width="16.85546875" style="1" customWidth="1"/>
    <col min="16" max="16" width="37.85546875" style="1" customWidth="1"/>
    <col min="17" max="17" width="18.5703125" style="1" customWidth="1"/>
    <col min="18" max="18" width="4.85546875" style="1" customWidth="1"/>
    <col min="19" max="19" width="18.5703125" style="1" customWidth="1"/>
    <col min="20" max="20" width="4.85546875" style="1" customWidth="1"/>
    <col min="21" max="21" width="16.140625" style="1" customWidth="1"/>
    <col min="22" max="22" width="26.85546875" style="1" customWidth="1"/>
    <col min="23" max="16384" width="9.140625" style="1"/>
  </cols>
  <sheetData>
    <row r="1" spans="2:22" ht="15" customHeight="1" x14ac:dyDescent="0.2"/>
    <row r="2" spans="2:22" ht="33.6" customHeight="1" x14ac:dyDescent="0.2">
      <c r="B2" s="140" t="s">
        <v>271</v>
      </c>
      <c r="C2" s="141"/>
      <c r="D2" s="141"/>
      <c r="E2" s="141"/>
      <c r="F2" s="141"/>
      <c r="G2" s="141"/>
      <c r="H2" s="141"/>
      <c r="I2" s="141"/>
      <c r="J2" s="141"/>
      <c r="K2" s="141"/>
      <c r="L2" s="141"/>
      <c r="M2" s="141"/>
      <c r="N2" s="141"/>
      <c r="O2" s="141"/>
      <c r="P2" s="141"/>
      <c r="Q2" s="142"/>
      <c r="R2" s="101"/>
    </row>
    <row r="3" spans="2:22" hidden="1" x14ac:dyDescent="0.2">
      <c r="B3" s="75"/>
      <c r="C3" s="75"/>
      <c r="D3" s="75"/>
      <c r="E3" s="75"/>
    </row>
    <row r="4" spans="2:22" ht="13.5" thickBot="1" x14ac:dyDescent="0.25">
      <c r="B4" s="75"/>
      <c r="C4" s="75"/>
      <c r="D4" s="75"/>
      <c r="E4" s="75"/>
      <c r="J4" s="87"/>
      <c r="K4" s="74"/>
      <c r="N4" s="1"/>
    </row>
    <row r="5" spans="2:22" s="98" customFormat="1" ht="27.6" customHeight="1" thickBot="1" x14ac:dyDescent="0.3">
      <c r="B5" s="143" t="s">
        <v>236</v>
      </c>
      <c r="C5" s="144"/>
      <c r="D5" s="144"/>
      <c r="E5" s="145"/>
      <c r="J5" s="146" t="s">
        <v>234</v>
      </c>
      <c r="K5" s="147"/>
      <c r="L5" s="147"/>
      <c r="M5" s="147"/>
      <c r="N5" s="148"/>
      <c r="P5" s="99"/>
      <c r="Q5" s="149" t="s">
        <v>235</v>
      </c>
      <c r="R5" s="150"/>
      <c r="S5" s="150"/>
      <c r="T5" s="150"/>
      <c r="U5" s="151"/>
      <c r="V5" s="100"/>
    </row>
    <row r="6" spans="2:22" s="60" customFormat="1" ht="83.45" customHeight="1" x14ac:dyDescent="0.25">
      <c r="B6" s="111" t="s">
        <v>250</v>
      </c>
      <c r="C6" s="112" t="s">
        <v>251</v>
      </c>
      <c r="D6" s="112" t="s">
        <v>252</v>
      </c>
      <c r="E6" s="112" t="s">
        <v>253</v>
      </c>
      <c r="F6" s="106" t="s">
        <v>254</v>
      </c>
      <c r="G6" s="106" t="s">
        <v>32</v>
      </c>
      <c r="H6" s="106" t="s">
        <v>33</v>
      </c>
      <c r="I6" s="116" t="s">
        <v>34</v>
      </c>
      <c r="J6" s="107" t="s">
        <v>255</v>
      </c>
      <c r="K6" s="108" t="s">
        <v>35</v>
      </c>
      <c r="L6" s="107" t="s">
        <v>256</v>
      </c>
      <c r="M6" s="108" t="s">
        <v>36</v>
      </c>
      <c r="N6" s="109" t="s">
        <v>257</v>
      </c>
      <c r="O6" s="110" t="s">
        <v>258</v>
      </c>
      <c r="P6" s="88" t="s">
        <v>259</v>
      </c>
      <c r="Q6" s="113" t="s">
        <v>260</v>
      </c>
      <c r="R6" s="108" t="s">
        <v>37</v>
      </c>
      <c r="S6" s="107" t="s">
        <v>261</v>
      </c>
      <c r="T6" s="108" t="s">
        <v>38</v>
      </c>
      <c r="U6" s="107" t="s">
        <v>262</v>
      </c>
      <c r="V6" s="62" t="s">
        <v>263</v>
      </c>
    </row>
    <row r="7" spans="2:22" ht="90" x14ac:dyDescent="0.25">
      <c r="B7" s="92" t="s">
        <v>39</v>
      </c>
      <c r="C7" s="76"/>
      <c r="D7" s="76"/>
      <c r="E7" s="76" t="s">
        <v>39</v>
      </c>
      <c r="F7" s="93" t="s">
        <v>40</v>
      </c>
      <c r="G7" s="115"/>
      <c r="H7" s="115"/>
      <c r="I7" s="115"/>
      <c r="J7" s="92" t="s">
        <v>147</v>
      </c>
      <c r="K7" s="97" t="s">
        <v>41</v>
      </c>
      <c r="L7" s="76" t="s">
        <v>149</v>
      </c>
      <c r="M7" s="96" t="s">
        <v>42</v>
      </c>
      <c r="N7" s="90">
        <f>IF(Table1345[[#This Row],[Nivel 2: Riesgos de IA]]="",0,_xlfn.NUMBERVALUE(LEFT(Table1345[[#This Row],[Probabilidad Inherente ]],1))*_xlfn.NUMBERVALUE(LEFT(Table1345[[#This Row],[Impacto Inherente]],1)))</f>
        <v>12</v>
      </c>
      <c r="O7" s="73" t="s">
        <v>145</v>
      </c>
      <c r="P7" s="93" t="s">
        <v>264</v>
      </c>
      <c r="Q7" s="89" t="s">
        <v>50</v>
      </c>
      <c r="R7" s="97" t="s">
        <v>41</v>
      </c>
      <c r="S7" s="69" t="s">
        <v>50</v>
      </c>
      <c r="T7" s="96" t="s">
        <v>42</v>
      </c>
      <c r="U7" s="104">
        <f>IF(Table1345[[#This Row],[Nivel 2: Riesgos de IA]]="",0,_xlfn.NUMBERVALUE(LEFT(Table1345[[#This Row],[Probabilidad Residual]],1))*_xlfn.NUMBERVALUE(LEFT(Table1345[[#This Row],[Impacto Residual]],1)))</f>
        <v>4</v>
      </c>
      <c r="V7" s="114">
        <f>Table1345[[#This Row],[Riesgo Inherente (Probabilidad x Impacto)]]-Table1345[[#This Row],[Riesgo Residual ]]</f>
        <v>8</v>
      </c>
    </row>
    <row r="8" spans="2:22" ht="90" x14ac:dyDescent="0.25">
      <c r="B8" s="92" t="s">
        <v>39</v>
      </c>
      <c r="C8" s="76"/>
      <c r="D8" s="76" t="s">
        <v>39</v>
      </c>
      <c r="E8" s="76"/>
      <c r="F8" s="93" t="s">
        <v>43</v>
      </c>
      <c r="G8" s="115"/>
      <c r="H8" s="115"/>
      <c r="I8" s="115"/>
      <c r="J8" s="92" t="s">
        <v>147</v>
      </c>
      <c r="K8" s="97" t="s">
        <v>41</v>
      </c>
      <c r="L8" s="76" t="s">
        <v>149</v>
      </c>
      <c r="M8" s="96" t="s">
        <v>42</v>
      </c>
      <c r="N8" s="90">
        <f>IF(Table1345[[#This Row],[Nivel 2: Riesgos de IA]]="",0,_xlfn.NUMBERVALUE(LEFT(Table1345[[#This Row],[Probabilidad Inherente ]],1))*_xlfn.NUMBERVALUE(LEFT(Table1345[[#This Row],[Impacto Inherente]],1)))</f>
        <v>12</v>
      </c>
      <c r="O8" s="73" t="s">
        <v>145</v>
      </c>
      <c r="P8" s="93" t="s">
        <v>44</v>
      </c>
      <c r="Q8" s="89" t="s">
        <v>147</v>
      </c>
      <c r="R8" s="97" t="s">
        <v>41</v>
      </c>
      <c r="S8" s="69" t="s">
        <v>147</v>
      </c>
      <c r="T8" s="96" t="s">
        <v>42</v>
      </c>
      <c r="U8" s="104">
        <f>IF(Table1345[[#This Row],[Nivel 2: Riesgos de IA]]="",0,_xlfn.NUMBERVALUE(LEFT(Table1345[[#This Row],[Probabilidad Residual]],1))*_xlfn.NUMBERVALUE(LEFT(Table1345[[#This Row],[Impacto Residual]],1)))</f>
        <v>9</v>
      </c>
      <c r="V8" s="114">
        <f>Table1345[[#This Row],[Riesgo Inherente (Probabilidad x Impacto)]]-Table1345[[#This Row],[Riesgo Residual ]]</f>
        <v>3</v>
      </c>
    </row>
    <row r="9" spans="2:22" ht="77.25" x14ac:dyDescent="0.25">
      <c r="B9" s="92"/>
      <c r="C9" s="76"/>
      <c r="D9" s="76" t="s">
        <v>39</v>
      </c>
      <c r="E9" s="76"/>
      <c r="F9" s="93" t="s">
        <v>45</v>
      </c>
      <c r="G9" s="115"/>
      <c r="H9" s="115"/>
      <c r="I9" s="115"/>
      <c r="J9" s="92" t="s">
        <v>147</v>
      </c>
      <c r="K9" s="97" t="s">
        <v>41</v>
      </c>
      <c r="L9" s="76" t="s">
        <v>149</v>
      </c>
      <c r="M9" s="96" t="s">
        <v>42</v>
      </c>
      <c r="N9" s="90">
        <f>IF(Table1345[[#This Row],[Nivel 2: Riesgos de IA]]="",0,_xlfn.NUMBERVALUE(LEFT(Table1345[[#This Row],[Probabilidad Inherente ]],1))*_xlfn.NUMBERVALUE(LEFT(Table1345[[#This Row],[Impacto Inherente]],1)))</f>
        <v>12</v>
      </c>
      <c r="O9" s="73" t="s">
        <v>145</v>
      </c>
      <c r="P9" s="93" t="s">
        <v>46</v>
      </c>
      <c r="Q9" s="89" t="s">
        <v>147</v>
      </c>
      <c r="R9" s="97" t="s">
        <v>41</v>
      </c>
      <c r="S9" s="69" t="s">
        <v>147</v>
      </c>
      <c r="T9" s="96" t="s">
        <v>42</v>
      </c>
      <c r="U9" s="104">
        <f>IF(Table1345[[#This Row],[Nivel 2: Riesgos de IA]]="",0,_xlfn.NUMBERVALUE(LEFT(Table1345[[#This Row],[Probabilidad Residual]],1))*_xlfn.NUMBERVALUE(LEFT(Table1345[[#This Row],[Impacto Residual]],1)))</f>
        <v>9</v>
      </c>
      <c r="V9" s="114">
        <f>Table1345[[#This Row],[Riesgo Inherente (Probabilidad x Impacto)]]-Table1345[[#This Row],[Riesgo Residual ]]</f>
        <v>3</v>
      </c>
    </row>
    <row r="10" spans="2:22" ht="69" customHeight="1" x14ac:dyDescent="0.25">
      <c r="B10" s="92"/>
      <c r="C10" s="76"/>
      <c r="D10" s="76"/>
      <c r="E10" s="76" t="s">
        <v>39</v>
      </c>
      <c r="F10" s="93" t="s">
        <v>47</v>
      </c>
      <c r="G10" s="115"/>
      <c r="H10" s="115"/>
      <c r="I10" s="115"/>
      <c r="J10" s="92" t="s">
        <v>144</v>
      </c>
      <c r="K10" s="97" t="s">
        <v>41</v>
      </c>
      <c r="L10" s="76" t="s">
        <v>149</v>
      </c>
      <c r="M10" s="96" t="s">
        <v>42</v>
      </c>
      <c r="N10" s="90">
        <f>IF(Table1345[[#This Row],[Nivel 2: Riesgos de IA]]="",0,_xlfn.NUMBERVALUE(LEFT(Table1345[[#This Row],[Probabilidad Inherente ]],1))*_xlfn.NUMBERVALUE(LEFT(Table1345[[#This Row],[Impacto Inherente]],1)))</f>
        <v>4</v>
      </c>
      <c r="O10" s="73" t="s">
        <v>145</v>
      </c>
      <c r="P10" s="93" t="s">
        <v>48</v>
      </c>
      <c r="Q10" s="89" t="s">
        <v>144</v>
      </c>
      <c r="R10" s="97" t="s">
        <v>41</v>
      </c>
      <c r="S10" s="69" t="s">
        <v>147</v>
      </c>
      <c r="T10" s="96" t="s">
        <v>42</v>
      </c>
      <c r="U10" s="104">
        <f>IF(Table1345[[#This Row],[Nivel 2: Riesgos de IA]]="",0,_xlfn.NUMBERVALUE(LEFT(Table1345[[#This Row],[Probabilidad Residual]],1))*_xlfn.NUMBERVALUE(LEFT(Table1345[[#This Row],[Impacto Residual]],1)))</f>
        <v>3</v>
      </c>
      <c r="V10" s="114">
        <f>Table1345[[#This Row],[Riesgo Inherente (Probabilidad x Impacto)]]-Table1345[[#This Row],[Riesgo Residual ]]</f>
        <v>1</v>
      </c>
    </row>
    <row r="11" spans="2:22" ht="93" customHeight="1" x14ac:dyDescent="0.25">
      <c r="B11" s="94" t="s">
        <v>39</v>
      </c>
      <c r="C11" s="77"/>
      <c r="D11" s="77"/>
      <c r="E11" s="77"/>
      <c r="F11" s="93" t="s">
        <v>49</v>
      </c>
      <c r="G11" s="115"/>
      <c r="H11" s="115"/>
      <c r="I11" s="115"/>
      <c r="J11" s="92" t="s">
        <v>50</v>
      </c>
      <c r="K11" s="97" t="s">
        <v>41</v>
      </c>
      <c r="L11" s="76" t="s">
        <v>149</v>
      </c>
      <c r="M11" s="96" t="s">
        <v>42</v>
      </c>
      <c r="N11" s="90">
        <f>IF(Table1345[[#This Row],[Nivel 2: Riesgos de IA]]="",0,_xlfn.NUMBERVALUE(LEFT(Table1345[[#This Row],[Probabilidad Inherente ]],1))*_xlfn.NUMBERVALUE(LEFT(Table1345[[#This Row],[Impacto Inherente]],1)))</f>
        <v>8</v>
      </c>
      <c r="O11" s="73" t="s">
        <v>145</v>
      </c>
      <c r="P11" s="93" t="s">
        <v>51</v>
      </c>
      <c r="Q11" s="89" t="s">
        <v>50</v>
      </c>
      <c r="R11" s="97" t="s">
        <v>41</v>
      </c>
      <c r="S11" s="69" t="s">
        <v>50</v>
      </c>
      <c r="T11" s="96" t="s">
        <v>42</v>
      </c>
      <c r="U11" s="104">
        <f>IF(Table1345[[#This Row],[Nivel 2: Riesgos de IA]]="",0,_xlfn.NUMBERVALUE(LEFT(Table1345[[#This Row],[Probabilidad Residual]],1))*_xlfn.NUMBERVALUE(LEFT(Table1345[[#This Row],[Impacto Residual]],1)))</f>
        <v>4</v>
      </c>
      <c r="V11" s="114">
        <f>Table1345[[#This Row],[Riesgo Inherente (Probabilidad x Impacto)]]-Table1345[[#This Row],[Riesgo Residual ]]</f>
        <v>4</v>
      </c>
    </row>
    <row r="12" spans="2:22" ht="51.75" x14ac:dyDescent="0.25">
      <c r="B12" s="92" t="s">
        <v>39</v>
      </c>
      <c r="C12" s="76"/>
      <c r="D12" s="76"/>
      <c r="E12" s="76" t="s">
        <v>39</v>
      </c>
      <c r="F12" s="93" t="s">
        <v>52</v>
      </c>
      <c r="G12" s="115"/>
      <c r="H12" s="115"/>
      <c r="I12" s="115"/>
      <c r="J12" s="92" t="s">
        <v>50</v>
      </c>
      <c r="K12" s="97" t="s">
        <v>41</v>
      </c>
      <c r="L12" s="76" t="s">
        <v>149</v>
      </c>
      <c r="M12" s="96" t="s">
        <v>42</v>
      </c>
      <c r="N12" s="90">
        <f>IF(Table1345[[#This Row],[Nivel 2: Riesgos de IA]]="",0,_xlfn.NUMBERVALUE(LEFT(Table1345[[#This Row],[Probabilidad Inherente ]],1))*_xlfn.NUMBERVALUE(LEFT(Table1345[[#This Row],[Impacto Inherente]],1)))</f>
        <v>8</v>
      </c>
      <c r="O12" s="73" t="s">
        <v>145</v>
      </c>
      <c r="P12" s="93" t="s">
        <v>53</v>
      </c>
      <c r="Q12" s="89" t="s">
        <v>50</v>
      </c>
      <c r="R12" s="97" t="s">
        <v>41</v>
      </c>
      <c r="S12" s="69" t="s">
        <v>147</v>
      </c>
      <c r="T12" s="96" t="s">
        <v>42</v>
      </c>
      <c r="U12" s="104">
        <f>IF(Table1345[[#This Row],[Nivel 2: Riesgos de IA]]="",0,_xlfn.NUMBERVALUE(LEFT(Table1345[[#This Row],[Probabilidad Residual]],1))*_xlfn.NUMBERVALUE(LEFT(Table1345[[#This Row],[Impacto Residual]],1)))</f>
        <v>6</v>
      </c>
      <c r="V12" s="114">
        <f>Table1345[[#This Row],[Riesgo Inherente (Probabilidad x Impacto)]]-Table1345[[#This Row],[Riesgo Residual ]]</f>
        <v>2</v>
      </c>
    </row>
    <row r="13" spans="2:22" ht="77.25" x14ac:dyDescent="0.25">
      <c r="B13" s="92"/>
      <c r="C13" s="76"/>
      <c r="D13" s="76" t="s">
        <v>39</v>
      </c>
      <c r="E13" s="76"/>
      <c r="F13" s="93" t="s">
        <v>54</v>
      </c>
      <c r="G13" s="115"/>
      <c r="H13" s="115"/>
      <c r="I13" s="115"/>
      <c r="J13" s="92" t="s">
        <v>147</v>
      </c>
      <c r="K13" s="97" t="s">
        <v>41</v>
      </c>
      <c r="L13" s="76" t="s">
        <v>149</v>
      </c>
      <c r="M13" s="96" t="s">
        <v>42</v>
      </c>
      <c r="N13" s="91">
        <f>IF(Table1345[[#This Row],[Nivel 2: Riesgos de IA]]="",0,_xlfn.NUMBERVALUE(LEFT(Table1345[[#This Row],[Probabilidad Inherente ]],1))*_xlfn.NUMBERVALUE(LEFT(Table1345[[#This Row],[Impacto Inherente]],1)))</f>
        <v>12</v>
      </c>
      <c r="O13" s="73" t="s">
        <v>145</v>
      </c>
      <c r="P13" s="93" t="s">
        <v>265</v>
      </c>
      <c r="Q13" s="89" t="s">
        <v>50</v>
      </c>
      <c r="R13" s="97" t="s">
        <v>41</v>
      </c>
      <c r="S13" s="69" t="s">
        <v>147</v>
      </c>
      <c r="T13" s="96" t="s">
        <v>42</v>
      </c>
      <c r="U13" s="105">
        <f>IF(Table1345[[#This Row],[Nivel 2: Riesgos de IA]]="",0,_xlfn.NUMBERVALUE(LEFT(Table1345[[#This Row],[Probabilidad Residual]],1))*_xlfn.NUMBERVALUE(LEFT(Table1345[[#This Row],[Impacto Residual]],1)))</f>
        <v>6</v>
      </c>
      <c r="V13" s="114">
        <f>Table1345[[#This Row],[Riesgo Inherente (Probabilidad x Impacto)]]-Table1345[[#This Row],[Riesgo Residual ]]</f>
        <v>6</v>
      </c>
    </row>
    <row r="14" spans="2:22" ht="26.25" x14ac:dyDescent="0.25">
      <c r="B14" s="92"/>
      <c r="C14" s="76" t="s">
        <v>39</v>
      </c>
      <c r="D14" s="76" t="s">
        <v>39</v>
      </c>
      <c r="E14" s="76"/>
      <c r="F14" s="93" t="s">
        <v>55</v>
      </c>
      <c r="G14" s="115"/>
      <c r="H14" s="115"/>
      <c r="I14" s="115"/>
      <c r="J14" s="92" t="s">
        <v>50</v>
      </c>
      <c r="K14" s="97" t="s">
        <v>41</v>
      </c>
      <c r="L14" s="76" t="s">
        <v>147</v>
      </c>
      <c r="M14" s="96" t="s">
        <v>42</v>
      </c>
      <c r="N14" s="90">
        <f>IF(Table1345[[#This Row],[Nivel 2: Riesgos de IA]]="",0,_xlfn.NUMBERVALUE(LEFT(Table1345[[#This Row],[Probabilidad Inherente ]],1))*_xlfn.NUMBERVALUE(LEFT(Table1345[[#This Row],[Impacto Inherente]],1)))</f>
        <v>6</v>
      </c>
      <c r="O14" s="73" t="s">
        <v>145</v>
      </c>
      <c r="P14" s="93" t="s">
        <v>56</v>
      </c>
      <c r="Q14" s="89" t="s">
        <v>50</v>
      </c>
      <c r="R14" s="97" t="s">
        <v>41</v>
      </c>
      <c r="S14" s="69" t="s">
        <v>50</v>
      </c>
      <c r="T14" s="96" t="s">
        <v>42</v>
      </c>
      <c r="U14" s="104">
        <f>IF(Table1345[[#This Row],[Nivel 2: Riesgos de IA]]="",0,_xlfn.NUMBERVALUE(LEFT(Table1345[[#This Row],[Probabilidad Residual]],1))*_xlfn.NUMBERVALUE(LEFT(Table1345[[#This Row],[Impacto Residual]],1)))</f>
        <v>4</v>
      </c>
      <c r="V14" s="114">
        <f>Table1345[[#This Row],[Riesgo Inherente (Probabilidad x Impacto)]]-Table1345[[#This Row],[Riesgo Residual ]]</f>
        <v>2</v>
      </c>
    </row>
    <row r="15" spans="2:22" ht="51.75" x14ac:dyDescent="0.25">
      <c r="B15" s="92"/>
      <c r="C15" s="76" t="s">
        <v>39</v>
      </c>
      <c r="D15" s="76"/>
      <c r="E15" s="76"/>
      <c r="F15" s="93" t="s">
        <v>57</v>
      </c>
      <c r="G15" s="115"/>
      <c r="H15" s="115"/>
      <c r="I15" s="115"/>
      <c r="J15" s="92" t="s">
        <v>147</v>
      </c>
      <c r="K15" s="97" t="s">
        <v>41</v>
      </c>
      <c r="L15" s="76" t="s">
        <v>149</v>
      </c>
      <c r="M15" s="96" t="s">
        <v>42</v>
      </c>
      <c r="N15" s="90">
        <f>IF(Table1345[[#This Row],[Nivel 2: Riesgos de IA]]="",0,_xlfn.NUMBERVALUE(LEFT(Table1345[[#This Row],[Probabilidad Inherente ]],1))*_xlfn.NUMBERVALUE(LEFT(Table1345[[#This Row],[Impacto Inherente]],1)))</f>
        <v>12</v>
      </c>
      <c r="O15" s="73" t="s">
        <v>145</v>
      </c>
      <c r="P15" s="93" t="s">
        <v>266</v>
      </c>
      <c r="Q15" s="89" t="s">
        <v>147</v>
      </c>
      <c r="R15" s="97" t="s">
        <v>41</v>
      </c>
      <c r="S15" s="69" t="s">
        <v>147</v>
      </c>
      <c r="T15" s="96" t="s">
        <v>42</v>
      </c>
      <c r="U15" s="104">
        <f>IF(Table1345[[#This Row],[Nivel 2: Riesgos de IA]]="",0,_xlfn.NUMBERVALUE(LEFT(Table1345[[#This Row],[Probabilidad Residual]],1))*_xlfn.NUMBERVALUE(LEFT(Table1345[[#This Row],[Impacto Residual]],1)))</f>
        <v>9</v>
      </c>
      <c r="V15" s="114">
        <f>Table1345[[#This Row],[Riesgo Inherente (Probabilidad x Impacto)]]-Table1345[[#This Row],[Riesgo Residual ]]</f>
        <v>3</v>
      </c>
    </row>
    <row r="16" spans="2:22" ht="64.5" x14ac:dyDescent="0.25">
      <c r="B16" s="92" t="s">
        <v>39</v>
      </c>
      <c r="C16" s="76"/>
      <c r="D16" s="76"/>
      <c r="E16" s="76"/>
      <c r="F16" s="93" t="s">
        <v>58</v>
      </c>
      <c r="G16" s="115"/>
      <c r="H16" s="115"/>
      <c r="I16" s="115"/>
      <c r="J16" s="92" t="s">
        <v>50</v>
      </c>
      <c r="K16" s="97" t="s">
        <v>41</v>
      </c>
      <c r="L16" s="76" t="s">
        <v>149</v>
      </c>
      <c r="M16" s="96" t="s">
        <v>42</v>
      </c>
      <c r="N16" s="90">
        <f>IF(Table1345[[#This Row],[Nivel 2: Riesgos de IA]]="",0,_xlfn.NUMBERVALUE(LEFT(Table1345[[#This Row],[Probabilidad Inherente ]],1))*_xlfn.NUMBERVALUE(LEFT(Table1345[[#This Row],[Impacto Inherente]],1)))</f>
        <v>8</v>
      </c>
      <c r="O16" s="73" t="s">
        <v>145</v>
      </c>
      <c r="P16" s="93" t="s">
        <v>59</v>
      </c>
      <c r="Q16" s="89" t="s">
        <v>50</v>
      </c>
      <c r="R16" s="97" t="s">
        <v>41</v>
      </c>
      <c r="S16" s="69" t="s">
        <v>147</v>
      </c>
      <c r="T16" s="96" t="s">
        <v>42</v>
      </c>
      <c r="U16" s="104">
        <f>IF(Table1345[[#This Row],[Nivel 2: Riesgos de IA]]="",0,_xlfn.NUMBERVALUE(LEFT(Table1345[[#This Row],[Probabilidad Residual]],1))*_xlfn.NUMBERVALUE(LEFT(Table1345[[#This Row],[Impacto Residual]],1)))</f>
        <v>6</v>
      </c>
      <c r="V16" s="114">
        <f>Table1345[[#This Row],[Riesgo Inherente (Probabilidad x Impacto)]]-Table1345[[#This Row],[Riesgo Residual ]]</f>
        <v>2</v>
      </c>
    </row>
    <row r="17" spans="2:22" ht="41.25" customHeight="1" x14ac:dyDescent="0.25">
      <c r="B17" s="92" t="s">
        <v>39</v>
      </c>
      <c r="C17" s="76"/>
      <c r="D17" s="76"/>
      <c r="E17" s="76"/>
      <c r="F17" s="93" t="s">
        <v>60</v>
      </c>
      <c r="G17" s="115"/>
      <c r="H17" s="115"/>
      <c r="I17" s="115"/>
      <c r="J17" s="92" t="s">
        <v>50</v>
      </c>
      <c r="K17" s="97" t="s">
        <v>41</v>
      </c>
      <c r="L17" s="76" t="s">
        <v>149</v>
      </c>
      <c r="M17" s="96" t="s">
        <v>42</v>
      </c>
      <c r="N17" s="90">
        <f>IF(Table1345[[#This Row],[Nivel 2: Riesgos de IA]]="",0,_xlfn.NUMBERVALUE(LEFT(Table1345[[#This Row],[Probabilidad Inherente ]],1))*_xlfn.NUMBERVALUE(LEFT(Table1345[[#This Row],[Impacto Inherente]],1)))</f>
        <v>8</v>
      </c>
      <c r="O17" s="73" t="s">
        <v>145</v>
      </c>
      <c r="P17" s="93" t="s">
        <v>61</v>
      </c>
      <c r="Q17" s="89" t="s">
        <v>50</v>
      </c>
      <c r="R17" s="97" t="s">
        <v>41</v>
      </c>
      <c r="S17" s="69" t="s">
        <v>50</v>
      </c>
      <c r="T17" s="96" t="s">
        <v>42</v>
      </c>
      <c r="U17" s="104">
        <f>IF(Table1345[[#This Row],[Nivel 2: Riesgos de IA]]="",0,_xlfn.NUMBERVALUE(LEFT(Table1345[[#This Row],[Probabilidad Residual]],1))*_xlfn.NUMBERVALUE(LEFT(Table1345[[#This Row],[Impacto Residual]],1)))</f>
        <v>4</v>
      </c>
      <c r="V17" s="114">
        <f>Table1345[[#This Row],[Riesgo Inherente (Probabilidad x Impacto)]]-Table1345[[#This Row],[Riesgo Residual ]]</f>
        <v>4</v>
      </c>
    </row>
    <row r="18" spans="2:22" ht="64.5" x14ac:dyDescent="0.25">
      <c r="B18" s="92" t="s">
        <v>39</v>
      </c>
      <c r="C18" s="76"/>
      <c r="D18" s="76" t="s">
        <v>39</v>
      </c>
      <c r="E18" s="76"/>
      <c r="F18" s="93" t="s">
        <v>62</v>
      </c>
      <c r="G18" s="115"/>
      <c r="H18" s="115"/>
      <c r="I18" s="115"/>
      <c r="J18" s="92" t="s">
        <v>50</v>
      </c>
      <c r="K18" s="97" t="s">
        <v>41</v>
      </c>
      <c r="L18" s="76" t="s">
        <v>149</v>
      </c>
      <c r="M18" s="96" t="s">
        <v>42</v>
      </c>
      <c r="N18" s="90">
        <f>IF(Table1345[[#This Row],[Nivel 2: Riesgos de IA]]="",0,_xlfn.NUMBERVALUE(LEFT(Table1345[[#This Row],[Probabilidad Inherente ]],1))*_xlfn.NUMBERVALUE(LEFT(Table1345[[#This Row],[Impacto Inherente]],1)))</f>
        <v>8</v>
      </c>
      <c r="O18" s="73" t="s">
        <v>145</v>
      </c>
      <c r="P18" s="93" t="s">
        <v>63</v>
      </c>
      <c r="Q18" s="89" t="s">
        <v>50</v>
      </c>
      <c r="R18" s="97" t="s">
        <v>41</v>
      </c>
      <c r="S18" s="69" t="s">
        <v>50</v>
      </c>
      <c r="T18" s="96" t="s">
        <v>42</v>
      </c>
      <c r="U18" s="104">
        <f>IF(Table1345[[#This Row],[Nivel 2: Riesgos de IA]]="",0,_xlfn.NUMBERVALUE(LEFT(Table1345[[#This Row],[Probabilidad Residual]],1))*_xlfn.NUMBERVALUE(LEFT(Table1345[[#This Row],[Impacto Residual]],1)))</f>
        <v>4</v>
      </c>
      <c r="V18" s="114">
        <f>Table1345[[#This Row],[Riesgo Inherente (Probabilidad x Impacto)]]-Table1345[[#This Row],[Riesgo Residual ]]</f>
        <v>4</v>
      </c>
    </row>
    <row r="19" spans="2:22" ht="39" x14ac:dyDescent="0.25">
      <c r="B19" s="92" t="s">
        <v>39</v>
      </c>
      <c r="C19" s="76"/>
      <c r="D19" s="76"/>
      <c r="E19" s="76" t="s">
        <v>39</v>
      </c>
      <c r="F19" s="93" t="s">
        <v>64</v>
      </c>
      <c r="G19" s="115"/>
      <c r="H19" s="115"/>
      <c r="I19" s="115"/>
      <c r="J19" s="92" t="s">
        <v>50</v>
      </c>
      <c r="K19" s="97" t="s">
        <v>41</v>
      </c>
      <c r="L19" s="76" t="s">
        <v>149</v>
      </c>
      <c r="M19" s="96" t="s">
        <v>42</v>
      </c>
      <c r="N19" s="91">
        <f>IF(Table1345[[#This Row],[Nivel 2: Riesgos de IA]]="",0,_xlfn.NUMBERVALUE(LEFT(Table1345[[#This Row],[Probabilidad Inherente ]],1))*_xlfn.NUMBERVALUE(LEFT(Table1345[[#This Row],[Impacto Inherente]],1)))</f>
        <v>8</v>
      </c>
      <c r="O19" s="73" t="s">
        <v>145</v>
      </c>
      <c r="P19" s="93" t="s">
        <v>65</v>
      </c>
      <c r="Q19" s="89" t="s">
        <v>50</v>
      </c>
      <c r="R19" s="97" t="s">
        <v>41</v>
      </c>
      <c r="S19" s="69" t="s">
        <v>147</v>
      </c>
      <c r="T19" s="96" t="s">
        <v>42</v>
      </c>
      <c r="U19" s="105">
        <f>IF(Table1345[[#This Row],[Nivel 2: Riesgos de IA]]="",0,_xlfn.NUMBERVALUE(LEFT(Table1345[[#This Row],[Probabilidad Residual]],1))*_xlfn.NUMBERVALUE(LEFT(Table1345[[#This Row],[Impacto Residual]],1)))</f>
        <v>6</v>
      </c>
      <c r="V19" s="114">
        <f>Table1345[[#This Row],[Riesgo Inherente (Probabilidad x Impacto)]]-Table1345[[#This Row],[Riesgo Residual ]]</f>
        <v>2</v>
      </c>
    </row>
    <row r="20" spans="2:22" ht="115.5" x14ac:dyDescent="0.25">
      <c r="B20" s="92" t="s">
        <v>39</v>
      </c>
      <c r="C20" s="76"/>
      <c r="D20" s="76"/>
      <c r="E20" s="76" t="s">
        <v>39</v>
      </c>
      <c r="F20" s="93" t="s">
        <v>66</v>
      </c>
      <c r="G20" s="115"/>
      <c r="H20" s="115"/>
      <c r="I20" s="115"/>
      <c r="J20" s="92" t="s">
        <v>147</v>
      </c>
      <c r="K20" s="97" t="s">
        <v>41</v>
      </c>
      <c r="L20" s="76" t="s">
        <v>150</v>
      </c>
      <c r="M20" s="96" t="s">
        <v>42</v>
      </c>
      <c r="N20" s="90">
        <f>IF(Table1345[[#This Row],[Nivel 2: Riesgos de IA]]="",0,_xlfn.NUMBERVALUE(LEFT(Table1345[[#This Row],[Probabilidad Inherente ]],1))*_xlfn.NUMBERVALUE(LEFT(Table1345[[#This Row],[Impacto Inherente]],1)))</f>
        <v>15</v>
      </c>
      <c r="O20" s="73" t="s">
        <v>145</v>
      </c>
      <c r="P20" s="93" t="s">
        <v>67</v>
      </c>
      <c r="Q20" s="89" t="s">
        <v>147</v>
      </c>
      <c r="R20" s="97" t="s">
        <v>41</v>
      </c>
      <c r="S20" s="69" t="s">
        <v>149</v>
      </c>
      <c r="T20" s="96" t="s">
        <v>42</v>
      </c>
      <c r="U20" s="104">
        <f>IF(Table1345[[#This Row],[Nivel 2: Riesgos de IA]]="",0,_xlfn.NUMBERVALUE(LEFT(Table1345[[#This Row],[Probabilidad Residual]],1))*_xlfn.NUMBERVALUE(LEFT(Table1345[[#This Row],[Impacto Residual]],1)))</f>
        <v>12</v>
      </c>
      <c r="V20" s="114">
        <f>Table1345[[#This Row],[Riesgo Inherente (Probabilidad x Impacto)]]-Table1345[[#This Row],[Riesgo Residual ]]</f>
        <v>3</v>
      </c>
    </row>
    <row r="21" spans="2:22" ht="77.25" x14ac:dyDescent="0.25">
      <c r="B21" s="92"/>
      <c r="C21" s="76"/>
      <c r="D21" s="76"/>
      <c r="E21" s="76" t="s">
        <v>39</v>
      </c>
      <c r="F21" s="93" t="s">
        <v>68</v>
      </c>
      <c r="G21" s="115"/>
      <c r="H21" s="115"/>
      <c r="I21" s="115"/>
      <c r="J21" s="92" t="s">
        <v>147</v>
      </c>
      <c r="K21" s="97" t="s">
        <v>41</v>
      </c>
      <c r="L21" s="76" t="s">
        <v>149</v>
      </c>
      <c r="M21" s="96" t="s">
        <v>42</v>
      </c>
      <c r="N21" s="90">
        <f>IF(Table1345[[#This Row],[Nivel 2: Riesgos de IA]]="",0,_xlfn.NUMBERVALUE(LEFT(Table1345[[#This Row],[Probabilidad Inherente ]],1))*_xlfn.NUMBERVALUE(LEFT(Table1345[[#This Row],[Impacto Inherente]],1)))</f>
        <v>12</v>
      </c>
      <c r="O21" s="73" t="s">
        <v>145</v>
      </c>
      <c r="P21" s="93" t="s">
        <v>267</v>
      </c>
      <c r="Q21" s="89" t="s">
        <v>147</v>
      </c>
      <c r="R21" s="97" t="s">
        <v>41</v>
      </c>
      <c r="S21" s="69" t="s">
        <v>147</v>
      </c>
      <c r="T21" s="96" t="s">
        <v>42</v>
      </c>
      <c r="U21" s="104">
        <f>IF(Table1345[[#This Row],[Nivel 2: Riesgos de IA]]="",0,_xlfn.NUMBERVALUE(LEFT(Table1345[[#This Row],[Probabilidad Residual]],1))*_xlfn.NUMBERVALUE(LEFT(Table1345[[#This Row],[Impacto Residual]],1)))</f>
        <v>9</v>
      </c>
      <c r="V21" s="114">
        <f>Table1345[[#This Row],[Riesgo Inherente (Probabilidad x Impacto)]]-Table1345[[#This Row],[Riesgo Residual ]]</f>
        <v>3</v>
      </c>
    </row>
    <row r="22" spans="2:22" ht="39" x14ac:dyDescent="0.25">
      <c r="B22" s="92" t="s">
        <v>39</v>
      </c>
      <c r="C22" s="76"/>
      <c r="D22" s="76"/>
      <c r="E22" s="76"/>
      <c r="F22" s="93" t="s">
        <v>69</v>
      </c>
      <c r="G22" s="115"/>
      <c r="H22" s="115"/>
      <c r="I22" s="115"/>
      <c r="J22" s="92" t="s">
        <v>50</v>
      </c>
      <c r="K22" s="97" t="s">
        <v>41</v>
      </c>
      <c r="L22" s="76" t="s">
        <v>149</v>
      </c>
      <c r="M22" s="96" t="s">
        <v>42</v>
      </c>
      <c r="N22" s="90">
        <f>IF(Table1345[[#This Row],[Nivel 2: Riesgos de IA]]="",0,_xlfn.NUMBERVALUE(LEFT(Table1345[[#This Row],[Probabilidad Inherente ]],1))*_xlfn.NUMBERVALUE(LEFT(Table1345[[#This Row],[Impacto Inherente]],1)))</f>
        <v>8</v>
      </c>
      <c r="O22" s="73" t="s">
        <v>145</v>
      </c>
      <c r="P22" s="93" t="s">
        <v>70</v>
      </c>
      <c r="Q22" s="89" t="s">
        <v>144</v>
      </c>
      <c r="R22" s="97" t="s">
        <v>41</v>
      </c>
      <c r="S22" s="69" t="s">
        <v>147</v>
      </c>
      <c r="T22" s="96" t="s">
        <v>42</v>
      </c>
      <c r="U22" s="104">
        <f>IF(Table1345[[#This Row],[Nivel 2: Riesgos de IA]]="",0,_xlfn.NUMBERVALUE(LEFT(Table1345[[#This Row],[Probabilidad Residual]],1))*_xlfn.NUMBERVALUE(LEFT(Table1345[[#This Row],[Impacto Residual]],1)))</f>
        <v>3</v>
      </c>
      <c r="V22" s="114">
        <f>Table1345[[#This Row],[Riesgo Inherente (Probabilidad x Impacto)]]-Table1345[[#This Row],[Riesgo Residual ]]</f>
        <v>5</v>
      </c>
    </row>
    <row r="23" spans="2:22" ht="51.75" x14ac:dyDescent="0.25">
      <c r="B23" s="92"/>
      <c r="C23" s="76" t="s">
        <v>39</v>
      </c>
      <c r="D23" s="76"/>
      <c r="E23" s="76"/>
      <c r="F23" s="93" t="s">
        <v>71</v>
      </c>
      <c r="G23" s="115"/>
      <c r="H23" s="115"/>
      <c r="I23" s="115"/>
      <c r="J23" s="92" t="s">
        <v>144</v>
      </c>
      <c r="K23" s="97" t="s">
        <v>41</v>
      </c>
      <c r="L23" s="76" t="s">
        <v>147</v>
      </c>
      <c r="M23" s="96" t="s">
        <v>42</v>
      </c>
      <c r="N23" s="90">
        <f>IF(Table1345[[#This Row],[Nivel 2: Riesgos de IA]]="",0,_xlfn.NUMBERVALUE(LEFT(Table1345[[#This Row],[Probabilidad Inherente ]],1))*_xlfn.NUMBERVALUE(LEFT(Table1345[[#This Row],[Impacto Inherente]],1)))</f>
        <v>3</v>
      </c>
      <c r="O23" s="73" t="s">
        <v>145</v>
      </c>
      <c r="P23" s="93" t="s">
        <v>72</v>
      </c>
      <c r="Q23" s="89" t="s">
        <v>144</v>
      </c>
      <c r="R23" s="97" t="s">
        <v>41</v>
      </c>
      <c r="S23" s="69" t="s">
        <v>50</v>
      </c>
      <c r="T23" s="96" t="s">
        <v>42</v>
      </c>
      <c r="U23" s="104">
        <f>IF(Table1345[[#This Row],[Nivel 2: Riesgos de IA]]="",0,_xlfn.NUMBERVALUE(LEFT(Table1345[[#This Row],[Probabilidad Residual]],1))*_xlfn.NUMBERVALUE(LEFT(Table1345[[#This Row],[Impacto Residual]],1)))</f>
        <v>2</v>
      </c>
      <c r="V23" s="114">
        <f>Table1345[[#This Row],[Riesgo Inherente (Probabilidad x Impacto)]]-Table1345[[#This Row],[Riesgo Residual ]]</f>
        <v>1</v>
      </c>
    </row>
    <row r="24" spans="2:22" ht="90" x14ac:dyDescent="0.25">
      <c r="B24" s="92" t="s">
        <v>39</v>
      </c>
      <c r="C24" s="76"/>
      <c r="D24" s="76"/>
      <c r="E24" s="76"/>
      <c r="F24" s="93" t="s">
        <v>73</v>
      </c>
      <c r="G24" s="115"/>
      <c r="H24" s="115"/>
      <c r="I24" s="115"/>
      <c r="J24" s="92" t="s">
        <v>147</v>
      </c>
      <c r="K24" s="97" t="s">
        <v>41</v>
      </c>
      <c r="L24" s="76" t="s">
        <v>149</v>
      </c>
      <c r="M24" s="96" t="s">
        <v>42</v>
      </c>
      <c r="N24" s="91">
        <f>IF(Table1345[[#This Row],[Nivel 2: Riesgos de IA]]="",0,_xlfn.NUMBERVALUE(LEFT(Table1345[[#This Row],[Probabilidad Inherente ]],1))*_xlfn.NUMBERVALUE(LEFT(Table1345[[#This Row],[Impacto Inherente]],1)))</f>
        <v>12</v>
      </c>
      <c r="O24" s="73" t="s">
        <v>145</v>
      </c>
      <c r="P24" s="117" t="s">
        <v>74</v>
      </c>
      <c r="Q24" s="89" t="s">
        <v>50</v>
      </c>
      <c r="R24" s="97" t="s">
        <v>41</v>
      </c>
      <c r="S24" s="69" t="s">
        <v>147</v>
      </c>
      <c r="T24" s="96" t="s">
        <v>42</v>
      </c>
      <c r="U24" s="105">
        <f>IF(Table1345[[#This Row],[Nivel 2: Riesgos de IA]]="",0,_xlfn.NUMBERVALUE(LEFT(Table1345[[#This Row],[Probabilidad Residual]],1))*_xlfn.NUMBERVALUE(LEFT(Table1345[[#This Row],[Impacto Residual]],1)))</f>
        <v>6</v>
      </c>
      <c r="V24" s="114">
        <f>Table1345[[#This Row],[Riesgo Inherente (Probabilidad x Impacto)]]-Table1345[[#This Row],[Riesgo Residual ]]</f>
        <v>6</v>
      </c>
    </row>
    <row r="25" spans="2:22" ht="64.5" x14ac:dyDescent="0.25">
      <c r="B25" s="92"/>
      <c r="C25" s="76" t="s">
        <v>39</v>
      </c>
      <c r="D25" s="76"/>
      <c r="E25" s="76"/>
      <c r="F25" s="93" t="s">
        <v>75</v>
      </c>
      <c r="G25" s="115"/>
      <c r="H25" s="115"/>
      <c r="I25" s="115"/>
      <c r="J25" s="92" t="s">
        <v>147</v>
      </c>
      <c r="K25" s="97" t="s">
        <v>41</v>
      </c>
      <c r="L25" s="76" t="s">
        <v>149</v>
      </c>
      <c r="M25" s="96" t="s">
        <v>42</v>
      </c>
      <c r="N25" s="91">
        <f>IF(Table1345[[#This Row],[Nivel 2: Riesgos de IA]]="",0,_xlfn.NUMBERVALUE(LEFT(Table1345[[#This Row],[Probabilidad Inherente ]],1))*_xlfn.NUMBERVALUE(LEFT(Table1345[[#This Row],[Impacto Inherente]],1)))</f>
        <v>12</v>
      </c>
      <c r="O25" s="73" t="s">
        <v>145</v>
      </c>
      <c r="P25" s="93" t="s">
        <v>76</v>
      </c>
      <c r="Q25" s="89" t="s">
        <v>50</v>
      </c>
      <c r="R25" s="97" t="s">
        <v>41</v>
      </c>
      <c r="S25" s="69" t="s">
        <v>147</v>
      </c>
      <c r="T25" s="96" t="s">
        <v>42</v>
      </c>
      <c r="U25" s="105">
        <f>IF(Table1345[[#This Row],[Nivel 2: Riesgos de IA]]="",0,_xlfn.NUMBERVALUE(LEFT(Table1345[[#This Row],[Probabilidad Residual]],1))*_xlfn.NUMBERVALUE(LEFT(Table1345[[#This Row],[Impacto Residual]],1)))</f>
        <v>6</v>
      </c>
      <c r="V25" s="114">
        <f>Table1345[[#This Row],[Riesgo Inherente (Probabilidad x Impacto)]]-Table1345[[#This Row],[Riesgo Residual ]]</f>
        <v>6</v>
      </c>
    </row>
    <row r="26" spans="2:22" ht="77.25" x14ac:dyDescent="0.25">
      <c r="B26" s="92"/>
      <c r="C26" s="76"/>
      <c r="D26" s="76"/>
      <c r="E26" s="76" t="s">
        <v>39</v>
      </c>
      <c r="F26" s="93" t="s">
        <v>77</v>
      </c>
      <c r="G26" s="115"/>
      <c r="H26" s="115"/>
      <c r="I26" s="115"/>
      <c r="J26" s="92" t="s">
        <v>147</v>
      </c>
      <c r="K26" s="97" t="s">
        <v>41</v>
      </c>
      <c r="L26" s="76" t="s">
        <v>149</v>
      </c>
      <c r="M26" s="96" t="s">
        <v>42</v>
      </c>
      <c r="N26" s="91">
        <f>IF(Table1345[[#This Row],[Nivel 2: Riesgos de IA]]="",0,_xlfn.NUMBERVALUE(LEFT(Table1345[[#This Row],[Probabilidad Inherente ]],1))*_xlfn.NUMBERVALUE(LEFT(Table1345[[#This Row],[Impacto Inherente]],1)))</f>
        <v>12</v>
      </c>
      <c r="O26" s="73" t="s">
        <v>145</v>
      </c>
      <c r="P26" s="117" t="s">
        <v>78</v>
      </c>
      <c r="Q26" s="89" t="s">
        <v>50</v>
      </c>
      <c r="R26" s="97" t="s">
        <v>41</v>
      </c>
      <c r="S26" s="69" t="s">
        <v>147</v>
      </c>
      <c r="T26" s="96" t="s">
        <v>42</v>
      </c>
      <c r="U26" s="105">
        <f>IF(Table1345[[#This Row],[Nivel 2: Riesgos de IA]]="",0,_xlfn.NUMBERVALUE(LEFT(Table1345[[#This Row],[Probabilidad Residual]],1))*_xlfn.NUMBERVALUE(LEFT(Table1345[[#This Row],[Impacto Residual]],1)))</f>
        <v>6</v>
      </c>
      <c r="V26" s="114">
        <f>Table1345[[#This Row],[Riesgo Inherente (Probabilidad x Impacto)]]-Table1345[[#This Row],[Riesgo Residual ]]</f>
        <v>6</v>
      </c>
    </row>
    <row r="27" spans="2:22" ht="77.25" x14ac:dyDescent="0.25">
      <c r="B27" s="92" t="s">
        <v>39</v>
      </c>
      <c r="C27" s="76"/>
      <c r="D27" s="76"/>
      <c r="E27" s="76"/>
      <c r="F27" s="93" t="s">
        <v>79</v>
      </c>
      <c r="G27" s="115"/>
      <c r="H27" s="115"/>
      <c r="I27" s="115"/>
      <c r="J27" s="92" t="s">
        <v>147</v>
      </c>
      <c r="K27" s="97" t="s">
        <v>41</v>
      </c>
      <c r="L27" s="76" t="s">
        <v>149</v>
      </c>
      <c r="M27" s="96" t="s">
        <v>42</v>
      </c>
      <c r="N27" s="91">
        <f>IF(Table1345[[#This Row],[Nivel 2: Riesgos de IA]]="",0,_xlfn.NUMBERVALUE(LEFT(Table1345[[#This Row],[Probabilidad Inherente ]],1))*_xlfn.NUMBERVALUE(LEFT(Table1345[[#This Row],[Impacto Inherente]],1)))</f>
        <v>12</v>
      </c>
      <c r="O27" s="73" t="s">
        <v>145</v>
      </c>
      <c r="P27" s="93" t="s">
        <v>80</v>
      </c>
      <c r="Q27" s="89" t="s">
        <v>50</v>
      </c>
      <c r="R27" s="97" t="s">
        <v>41</v>
      </c>
      <c r="S27" s="69" t="s">
        <v>147</v>
      </c>
      <c r="T27" s="96" t="s">
        <v>42</v>
      </c>
      <c r="U27" s="105">
        <f>IF(Table1345[[#This Row],[Nivel 2: Riesgos de IA]]="",0,_xlfn.NUMBERVALUE(LEFT(Table1345[[#This Row],[Probabilidad Residual]],1))*_xlfn.NUMBERVALUE(LEFT(Table1345[[#This Row],[Impacto Residual]],1)))</f>
        <v>6</v>
      </c>
      <c r="V27" s="114">
        <f>Table1345[[#This Row],[Riesgo Inherente (Probabilidad x Impacto)]]-Table1345[[#This Row],[Riesgo Residual ]]</f>
        <v>6</v>
      </c>
    </row>
    <row r="28" spans="2:22" ht="64.5" x14ac:dyDescent="0.25">
      <c r="B28" s="92" t="s">
        <v>39</v>
      </c>
      <c r="C28" s="76"/>
      <c r="D28" s="76"/>
      <c r="E28" s="76"/>
      <c r="F28" s="93" t="s">
        <v>81</v>
      </c>
      <c r="G28" s="115"/>
      <c r="H28" s="115"/>
      <c r="I28" s="115"/>
      <c r="J28" s="92" t="s">
        <v>147</v>
      </c>
      <c r="K28" s="97" t="s">
        <v>41</v>
      </c>
      <c r="L28" s="76" t="s">
        <v>149</v>
      </c>
      <c r="M28" s="96" t="s">
        <v>42</v>
      </c>
      <c r="N28" s="90">
        <f>IF(Table1345[[#This Row],[Nivel 2: Riesgos de IA]]="",0,_xlfn.NUMBERVALUE(LEFT(Table1345[[#This Row],[Probabilidad Inherente ]],1))*_xlfn.NUMBERVALUE(LEFT(Table1345[[#This Row],[Impacto Inherente]],1)))</f>
        <v>12</v>
      </c>
      <c r="O28" s="73" t="s">
        <v>145</v>
      </c>
      <c r="P28" s="93" t="s">
        <v>82</v>
      </c>
      <c r="Q28" s="89" t="s">
        <v>50</v>
      </c>
      <c r="R28" s="97" t="s">
        <v>41</v>
      </c>
      <c r="S28" s="69" t="s">
        <v>147</v>
      </c>
      <c r="T28" s="96" t="s">
        <v>42</v>
      </c>
      <c r="U28" s="104">
        <f>IF(Table1345[[#This Row],[Nivel 2: Riesgos de IA]]="",0,_xlfn.NUMBERVALUE(LEFT(Table1345[[#This Row],[Probabilidad Residual]],1))*_xlfn.NUMBERVALUE(LEFT(Table1345[[#This Row],[Impacto Residual]],1)))</f>
        <v>6</v>
      </c>
      <c r="V28" s="114">
        <f>Table1345[[#This Row],[Riesgo Inherente (Probabilidad x Impacto)]]-Table1345[[#This Row],[Riesgo Residual ]]</f>
        <v>6</v>
      </c>
    </row>
  </sheetData>
  <mergeCells count="4">
    <mergeCell ref="B2:Q2"/>
    <mergeCell ref="B5:E5"/>
    <mergeCell ref="J5:N5"/>
    <mergeCell ref="Q5:U5"/>
  </mergeCells>
  <conditionalFormatting sqref="N7:N28">
    <cfRule type="expression" dxfId="17" priority="10">
      <formula>N7=OR(0,"")</formula>
    </cfRule>
  </conditionalFormatting>
  <conditionalFormatting sqref="U7:U28">
    <cfRule type="expression" dxfId="16" priority="5">
      <formula>U7=OR(0,"")</formula>
    </cfRule>
  </conditionalFormatting>
  <dataValidations count="3">
    <dataValidation type="list" allowBlank="1" showInputMessage="1" showErrorMessage="1" sqref="L7:L28 S7:S28" xr:uid="{C86F0B80-885A-421F-ABA3-801CB45E289F}">
      <formula1>Impact_Scale</formula1>
    </dataValidation>
    <dataValidation type="list" allowBlank="1" showInputMessage="1" showErrorMessage="1" sqref="J7:J28 Q7:Q28" xr:uid="{630DF3A1-FDDC-4DA5-A29F-A99E8F64218D}">
      <formula1>Probability_Scale</formula1>
    </dataValidation>
    <dataValidation type="list" allowBlank="1" showInputMessage="1" showErrorMessage="1" sqref="O7:O28" xr:uid="{CD8FF646-50B8-4A1A-99C8-F9E10445A285}">
      <formula1>Risk_Response</formula1>
    </dataValidation>
  </dataValidations>
  <pageMargins left="0.75" right="0.75" top="1" bottom="1" header="0.5" footer="0.5"/>
  <pageSetup orientation="portrait" r:id="rId1"/>
  <headerFooter alignWithMargins="0"/>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6" id="{E4CBC2C9-A856-48FA-837F-8671FFFA79F8}">
            <xm:f>N7&gt;=' Escala de Evaluación de Riesgo'!$G$7</xm:f>
            <x14:dxf>
              <font>
                <b/>
                <i val="0"/>
                <color theme="0"/>
              </font>
              <fill>
                <patternFill>
                  <bgColor rgb="FFC00000"/>
                </patternFill>
              </fill>
            </x14:dxf>
          </x14:cfRule>
          <x14:cfRule type="expression" priority="7" id="{5BDF765A-D02C-4F7F-AEA0-BB0D9F24B755}">
            <xm:f>N7&gt;=' Escala de Evaluación de Riesgo'!$G$8</xm:f>
            <x14:dxf>
              <font>
                <b/>
                <i val="0"/>
                <color theme="0"/>
              </font>
              <fill>
                <patternFill>
                  <bgColor rgb="FFE26B0A"/>
                </patternFill>
              </fill>
            </x14:dxf>
          </x14:cfRule>
          <x14:cfRule type="expression" priority="8" id="{59042C39-7A88-4A42-A0ED-0522338BEC90}">
            <xm:f>N7&gt;=' Escala de Evaluación de Riesgo'!$G$9</xm:f>
            <x14:dxf>
              <font>
                <b/>
                <i val="0"/>
                <color theme="1"/>
              </font>
              <fill>
                <patternFill>
                  <bgColor rgb="FFFFFF00"/>
                </patternFill>
              </fill>
            </x14:dxf>
          </x14:cfRule>
          <x14:cfRule type="expression" priority="9" id="{D66E115C-C57D-4D3E-B4E9-2EAAA15CBA0A}">
            <xm:f>N7&gt;=' Escala de Evaluación de Riesgo'!$G$10</xm:f>
            <x14:dxf>
              <font>
                <b/>
                <i val="0"/>
                <color theme="1"/>
              </font>
              <fill>
                <patternFill>
                  <bgColor theme="0" tint="-0.14996795556505021"/>
                </patternFill>
              </fill>
            </x14:dxf>
          </x14:cfRule>
          <xm:sqref>N7:N28</xm:sqref>
        </x14:conditionalFormatting>
        <x14:conditionalFormatting xmlns:xm="http://schemas.microsoft.com/office/excel/2006/main">
          <x14:cfRule type="expression" priority="1" id="{F614AD29-002D-4D9F-AF4A-4252E54251AF}">
            <xm:f>U7&gt;=' Escala de Evaluación de Riesgo'!$G$7</xm:f>
            <x14:dxf>
              <font>
                <b/>
                <i val="0"/>
                <color theme="0"/>
              </font>
              <fill>
                <patternFill>
                  <bgColor rgb="FFC00000"/>
                </patternFill>
              </fill>
            </x14:dxf>
          </x14:cfRule>
          <x14:cfRule type="expression" priority="2" id="{A9F1AF9C-C2A1-4265-9EC4-6CAEE3F94F2E}">
            <xm:f>U7&gt;=' Escala de Evaluación de Riesgo'!$G$8</xm:f>
            <x14:dxf>
              <font>
                <b/>
                <i val="0"/>
                <color theme="0"/>
              </font>
              <fill>
                <patternFill>
                  <bgColor rgb="FFE26B0A"/>
                </patternFill>
              </fill>
            </x14:dxf>
          </x14:cfRule>
          <x14:cfRule type="expression" priority="3" id="{E73276E5-3CEB-4B0A-89CA-5245DD74F96A}">
            <xm:f>U7&gt;=' Escala de Evaluación de Riesgo'!$G$9</xm:f>
            <x14:dxf>
              <font>
                <b/>
                <i val="0"/>
                <color theme="1"/>
              </font>
              <fill>
                <patternFill>
                  <bgColor rgb="FFFFFF00"/>
                </patternFill>
              </fill>
            </x14:dxf>
          </x14:cfRule>
          <x14:cfRule type="expression" priority="4" id="{45F78D3D-7EA1-4B98-A3B7-008CF111FC9F}">
            <xm:f>U7&gt;=' Escala de Evaluación de Riesgo'!$G$10</xm:f>
            <x14:dxf>
              <font>
                <b/>
                <i val="0"/>
                <color theme="1"/>
              </font>
              <fill>
                <patternFill>
                  <bgColor theme="0" tint="-0.14996795556505021"/>
                </patternFill>
              </fill>
            </x14:dxf>
          </x14:cfRule>
          <xm:sqref>U7:U28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EA24-4533-4146-980F-BFF1F760E945}">
  <dimension ref="A1:D23"/>
  <sheetViews>
    <sheetView tabSelected="1" workbookViewId="0">
      <selection activeCell="A24" sqref="A24:XFD34"/>
    </sheetView>
  </sheetViews>
  <sheetFormatPr defaultColWidth="8.85546875" defaultRowHeight="15" x14ac:dyDescent="0.25"/>
  <cols>
    <col min="1" max="1" width="45.42578125" customWidth="1"/>
    <col min="2" max="2" width="49.28515625" style="118" customWidth="1"/>
    <col min="3" max="3" width="30.42578125" style="129" customWidth="1"/>
    <col min="4" max="4" width="28" customWidth="1"/>
  </cols>
  <sheetData>
    <row r="1" spans="1:4" x14ac:dyDescent="0.25">
      <c r="A1" s="70" t="s">
        <v>83</v>
      </c>
    </row>
    <row r="2" spans="1:4" x14ac:dyDescent="0.25">
      <c r="A2" s="119" t="s">
        <v>84</v>
      </c>
      <c r="B2" s="120" t="s">
        <v>85</v>
      </c>
      <c r="C2" s="128" t="s">
        <v>86</v>
      </c>
      <c r="D2" s="119" t="s">
        <v>87</v>
      </c>
    </row>
    <row r="3" spans="1:4" ht="30" x14ac:dyDescent="0.25">
      <c r="A3" s="121" t="s">
        <v>88</v>
      </c>
      <c r="B3" s="122" t="s">
        <v>247</v>
      </c>
      <c r="C3" s="126" t="s">
        <v>248</v>
      </c>
      <c r="D3" s="126" t="s">
        <v>249</v>
      </c>
    </row>
    <row r="4" spans="1:4" x14ac:dyDescent="0.25">
      <c r="A4" s="121"/>
      <c r="B4" s="122"/>
      <c r="C4" s="126"/>
      <c r="D4" s="121"/>
    </row>
    <row r="5" spans="1:4" x14ac:dyDescent="0.25">
      <c r="A5" s="127" t="s">
        <v>89</v>
      </c>
      <c r="B5" s="122"/>
      <c r="C5" s="126"/>
      <c r="D5" s="121"/>
    </row>
    <row r="6" spans="1:4" ht="30" x14ac:dyDescent="0.25">
      <c r="A6" s="119" t="s">
        <v>84</v>
      </c>
      <c r="B6" s="120" t="s">
        <v>85</v>
      </c>
      <c r="C6" s="128" t="s">
        <v>90</v>
      </c>
      <c r="D6" s="119" t="s">
        <v>87</v>
      </c>
    </row>
    <row r="7" spans="1:4" ht="72" customHeight="1" x14ac:dyDescent="0.25">
      <c r="A7" s="121" t="s">
        <v>91</v>
      </c>
      <c r="B7" s="126" t="s">
        <v>268</v>
      </c>
      <c r="C7" s="126" t="s">
        <v>92</v>
      </c>
      <c r="D7" s="154" t="s">
        <v>93</v>
      </c>
    </row>
    <row r="8" spans="1:4" ht="78" customHeight="1" x14ac:dyDescent="0.25">
      <c r="A8" s="121" t="s">
        <v>94</v>
      </c>
      <c r="B8" s="126" t="s">
        <v>269</v>
      </c>
      <c r="C8" s="126" t="s">
        <v>92</v>
      </c>
      <c r="D8" s="155"/>
    </row>
    <row r="9" spans="1:4" ht="54" customHeight="1" x14ac:dyDescent="0.25">
      <c r="A9" s="121" t="s">
        <v>96</v>
      </c>
      <c r="B9" s="126" t="s">
        <v>270</v>
      </c>
      <c r="C9" s="126" t="s">
        <v>92</v>
      </c>
      <c r="D9" s="156"/>
    </row>
    <row r="11" spans="1:4" x14ac:dyDescent="0.25">
      <c r="A11" s="123" t="s">
        <v>97</v>
      </c>
    </row>
    <row r="12" spans="1:4" ht="45" x14ac:dyDescent="0.25">
      <c r="A12" s="125" t="s">
        <v>98</v>
      </c>
    </row>
    <row r="13" spans="1:4" ht="45" x14ac:dyDescent="0.25">
      <c r="A13" s="125" t="s">
        <v>99</v>
      </c>
    </row>
    <row r="14" spans="1:4" ht="45" x14ac:dyDescent="0.25">
      <c r="A14" s="125" t="s">
        <v>100</v>
      </c>
    </row>
    <row r="15" spans="1:4" hidden="1" x14ac:dyDescent="0.25">
      <c r="A15" s="70" t="s">
        <v>101</v>
      </c>
    </row>
    <row r="16" spans="1:4" hidden="1" x14ac:dyDescent="0.25">
      <c r="A16" s="119" t="s">
        <v>102</v>
      </c>
      <c r="B16" s="120" t="s">
        <v>103</v>
      </c>
      <c r="C16" s="128" t="s">
        <v>104</v>
      </c>
      <c r="D16" s="123" t="s">
        <v>97</v>
      </c>
    </row>
    <row r="17" spans="1:4" hidden="1" x14ac:dyDescent="0.25">
      <c r="A17" s="121" t="s">
        <v>105</v>
      </c>
      <c r="B17" s="121" t="s">
        <v>106</v>
      </c>
      <c r="C17" s="126" t="s">
        <v>92</v>
      </c>
      <c r="D17" s="124"/>
    </row>
    <row r="18" spans="1:4" ht="30" hidden="1" x14ac:dyDescent="0.25">
      <c r="A18" s="121" t="s">
        <v>107</v>
      </c>
      <c r="B18" s="121" t="s">
        <v>108</v>
      </c>
      <c r="C18" s="126" t="s">
        <v>92</v>
      </c>
      <c r="D18" s="125" t="s">
        <v>109</v>
      </c>
    </row>
    <row r="19" spans="1:4" ht="45" hidden="1" x14ac:dyDescent="0.25">
      <c r="A19" s="121" t="s">
        <v>110</v>
      </c>
      <c r="B19" s="121" t="s">
        <v>111</v>
      </c>
      <c r="C19" s="126" t="s">
        <v>95</v>
      </c>
      <c r="D19" s="125" t="s">
        <v>112</v>
      </c>
    </row>
    <row r="20" spans="1:4" ht="45" hidden="1" x14ac:dyDescent="0.25">
      <c r="A20" s="121" t="s">
        <v>113</v>
      </c>
      <c r="B20" s="121" t="s">
        <v>114</v>
      </c>
      <c r="C20" s="126" t="s">
        <v>92</v>
      </c>
      <c r="D20" s="125" t="s">
        <v>115</v>
      </c>
    </row>
    <row r="21" spans="1:4" hidden="1" x14ac:dyDescent="0.25">
      <c r="A21" s="121" t="s">
        <v>116</v>
      </c>
      <c r="B21" s="121" t="s">
        <v>117</v>
      </c>
      <c r="C21" s="126" t="s">
        <v>92</v>
      </c>
      <c r="D21" s="152"/>
    </row>
    <row r="22" spans="1:4" hidden="1" x14ac:dyDescent="0.25">
      <c r="A22" s="121" t="s">
        <v>118</v>
      </c>
      <c r="B22" s="121" t="s">
        <v>119</v>
      </c>
      <c r="C22" s="126" t="s">
        <v>120</v>
      </c>
      <c r="D22" s="153"/>
    </row>
    <row r="23" spans="1:4" x14ac:dyDescent="0.25">
      <c r="B23"/>
    </row>
  </sheetData>
  <mergeCells count="2">
    <mergeCell ref="D21:D22"/>
    <mergeCell ref="D7:D9"/>
  </mergeCells>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7F1DB-9450-4044-83C1-FA716336611D}">
  <dimension ref="B5:E48"/>
  <sheetViews>
    <sheetView topLeftCell="A21" zoomScaleNormal="100" workbookViewId="0"/>
  </sheetViews>
  <sheetFormatPr defaultColWidth="9.140625" defaultRowHeight="15" x14ac:dyDescent="0.25"/>
  <cols>
    <col min="2" max="2" width="45.42578125" customWidth="1"/>
    <col min="3" max="3" width="38.42578125" customWidth="1"/>
    <col min="4" max="4" width="45.42578125" customWidth="1"/>
    <col min="5" max="5" width="42.140625" customWidth="1"/>
  </cols>
  <sheetData>
    <row r="5" spans="2:5" x14ac:dyDescent="0.25">
      <c r="B5" s="85" t="s">
        <v>121</v>
      </c>
    </row>
    <row r="6" spans="2:5" ht="15.75" thickBot="1" x14ac:dyDescent="0.3"/>
    <row r="7" spans="2:5" ht="15.75" x14ac:dyDescent="0.25">
      <c r="B7" s="83" t="s">
        <v>122</v>
      </c>
      <c r="C7" s="86" t="s">
        <v>123</v>
      </c>
      <c r="D7" s="83" t="s">
        <v>124</v>
      </c>
      <c r="E7" s="86" t="s">
        <v>125</v>
      </c>
    </row>
    <row r="8" spans="2:5" x14ac:dyDescent="0.25">
      <c r="B8" s="84" t="e">
        <f>IF(#REF!="",-1,_xlfn.NUMBERVALUE(LEFT(#REF!,1)))</f>
        <v>#REF!</v>
      </c>
      <c r="C8" s="84" t="e">
        <f>IF(#REF!="",-1,_xlfn.NUMBERVALUE(LEFT(#REF!,1)))</f>
        <v>#REF!</v>
      </c>
      <c r="D8" s="84" t="e">
        <f>IF(#REF!="",-1,_xlfn.NUMBERVALUE(LEFT(#REF!,1)))</f>
        <v>#REF!</v>
      </c>
      <c r="E8" s="84" t="e">
        <f>IF(#REF!="",-1,_xlfn.NUMBERVALUE(LEFT(#REF!,1)))</f>
        <v>#REF!</v>
      </c>
    </row>
    <row r="9" spans="2:5" x14ac:dyDescent="0.25">
      <c r="B9" s="84" t="e">
        <f>IF(#REF!="",-1,_xlfn.NUMBERVALUE(LEFT(#REF!,1)))</f>
        <v>#REF!</v>
      </c>
      <c r="C9" s="84" t="e">
        <f>IF(#REF!="",-1,_xlfn.NUMBERVALUE(LEFT(#REF!,1)))</f>
        <v>#REF!</v>
      </c>
      <c r="D9" s="84" t="e">
        <f>IF(#REF!="",-1,_xlfn.NUMBERVALUE(LEFT(#REF!,1)))</f>
        <v>#REF!</v>
      </c>
      <c r="E9" s="84" t="e">
        <f>IF(#REF!="",-1,_xlfn.NUMBERVALUE(LEFT(#REF!,1)))</f>
        <v>#REF!</v>
      </c>
    </row>
    <row r="10" spans="2:5" x14ac:dyDescent="0.25">
      <c r="B10" s="84" t="e">
        <f>IF(#REF!="",-1,_xlfn.NUMBERVALUE(LEFT(#REF!,1)))</f>
        <v>#REF!</v>
      </c>
      <c r="C10" s="84" t="e">
        <f>IF(#REF!="",-1,_xlfn.NUMBERVALUE(LEFT(#REF!,1)))</f>
        <v>#REF!</v>
      </c>
      <c r="D10" s="84" t="e">
        <f>IF(#REF!="",-1,_xlfn.NUMBERVALUE(LEFT(#REF!,1)))</f>
        <v>#REF!</v>
      </c>
      <c r="E10" s="84" t="e">
        <f>IF(#REF!="",-1,_xlfn.NUMBERVALUE(LEFT(#REF!,1)))</f>
        <v>#REF!</v>
      </c>
    </row>
    <row r="11" spans="2:5" x14ac:dyDescent="0.25">
      <c r="B11" s="84" t="e">
        <f>IF(#REF!="",-1,_xlfn.NUMBERVALUE(LEFT(#REF!,1)))</f>
        <v>#REF!</v>
      </c>
      <c r="C11" s="84" t="e">
        <f>IF(#REF!="",-1,_xlfn.NUMBERVALUE(LEFT(#REF!,1)))</f>
        <v>#REF!</v>
      </c>
      <c r="D11" s="84" t="e">
        <f>IF(#REF!="",-1,_xlfn.NUMBERVALUE(LEFT(#REF!,1)))</f>
        <v>#REF!</v>
      </c>
      <c r="E11" s="84" t="e">
        <f>IF(#REF!="",-1,_xlfn.NUMBERVALUE(LEFT(#REF!,1)))</f>
        <v>#REF!</v>
      </c>
    </row>
    <row r="12" spans="2:5" x14ac:dyDescent="0.25">
      <c r="B12" s="84" t="e">
        <f>IF(#REF!="",-1,_xlfn.NUMBERVALUE(LEFT(#REF!,1)))</f>
        <v>#REF!</v>
      </c>
      <c r="C12" s="84" t="e">
        <f>IF(#REF!="",-1,_xlfn.NUMBERVALUE(LEFT(#REF!,1)))</f>
        <v>#REF!</v>
      </c>
      <c r="D12" s="84" t="e">
        <f>IF(#REF!="",-1,_xlfn.NUMBERVALUE(LEFT(#REF!,1)))</f>
        <v>#REF!</v>
      </c>
      <c r="E12" s="84" t="e">
        <f>IF(#REF!="",-1,_xlfn.NUMBERVALUE(LEFT(#REF!,1)))</f>
        <v>#REF!</v>
      </c>
    </row>
    <row r="13" spans="2:5" x14ac:dyDescent="0.25">
      <c r="B13" s="84" t="e">
        <f>IF(#REF!="",-1,_xlfn.NUMBERVALUE(LEFT(#REF!,1)))</f>
        <v>#REF!</v>
      </c>
      <c r="C13" s="84" t="e">
        <f>IF(#REF!="",-1,_xlfn.NUMBERVALUE(LEFT(#REF!,1)))</f>
        <v>#REF!</v>
      </c>
      <c r="D13" s="84" t="e">
        <f>IF(#REF!="",-1,_xlfn.NUMBERVALUE(LEFT(#REF!,1)))</f>
        <v>#REF!</v>
      </c>
      <c r="E13" s="84" t="e">
        <f>IF(#REF!="",-1,_xlfn.NUMBERVALUE(LEFT(#REF!,1)))</f>
        <v>#REF!</v>
      </c>
    </row>
    <row r="14" spans="2:5" x14ac:dyDescent="0.25">
      <c r="B14" s="84" t="e">
        <f>IF(#REF!="",-1,_xlfn.NUMBERVALUE(LEFT(#REF!,1)))</f>
        <v>#REF!</v>
      </c>
      <c r="C14" s="84" t="e">
        <f>IF(#REF!="",-1,_xlfn.NUMBERVALUE(LEFT(#REF!,1)))</f>
        <v>#REF!</v>
      </c>
      <c r="D14" s="84" t="e">
        <f>IF(#REF!="",-1,_xlfn.NUMBERVALUE(LEFT(#REF!,1)))</f>
        <v>#REF!</v>
      </c>
      <c r="E14" s="84" t="e">
        <f>IF(#REF!="",-1,_xlfn.NUMBERVALUE(LEFT(#REF!,1)))</f>
        <v>#REF!</v>
      </c>
    </row>
    <row r="15" spans="2:5" x14ac:dyDescent="0.25">
      <c r="B15" s="84" t="e">
        <f>IF(#REF!="",-1,_xlfn.NUMBERVALUE(LEFT(#REF!,1)))</f>
        <v>#REF!</v>
      </c>
      <c r="C15" s="84" t="e">
        <f>IF(#REF!="",-1,_xlfn.NUMBERVALUE(LEFT(#REF!,1)))</f>
        <v>#REF!</v>
      </c>
      <c r="D15" s="84" t="e">
        <f>IF(#REF!="",-1,_xlfn.NUMBERVALUE(LEFT(#REF!,1)))</f>
        <v>#REF!</v>
      </c>
      <c r="E15" s="84" t="e">
        <f>IF(#REF!="",-1,_xlfn.NUMBERVALUE(LEFT(#REF!,1)))</f>
        <v>#REF!</v>
      </c>
    </row>
    <row r="16" spans="2:5" x14ac:dyDescent="0.25">
      <c r="B16" s="84" t="e">
        <f>IF(#REF!="",-1,_xlfn.NUMBERVALUE(LEFT(#REF!,1)))</f>
        <v>#REF!</v>
      </c>
      <c r="C16" s="84" t="e">
        <f>IF(#REF!="",-1,_xlfn.NUMBERVALUE(LEFT(#REF!,1)))</f>
        <v>#REF!</v>
      </c>
      <c r="D16" s="84" t="e">
        <f>IF(#REF!="",-1,_xlfn.NUMBERVALUE(LEFT(#REF!,1)))</f>
        <v>#REF!</v>
      </c>
      <c r="E16" s="84" t="e">
        <f>IF(#REF!="",-1,_xlfn.NUMBERVALUE(LEFT(#REF!,1)))</f>
        <v>#REF!</v>
      </c>
    </row>
    <row r="17" spans="2:5" x14ac:dyDescent="0.25">
      <c r="B17" s="84" t="e">
        <f>IF(#REF!="",-1,_xlfn.NUMBERVALUE(LEFT(#REF!,1)))</f>
        <v>#REF!</v>
      </c>
      <c r="C17" s="84" t="e">
        <f>IF(#REF!="",-1,_xlfn.NUMBERVALUE(LEFT(#REF!,1)))</f>
        <v>#REF!</v>
      </c>
      <c r="D17" s="84" t="e">
        <f>IF(#REF!="",-1,_xlfn.NUMBERVALUE(LEFT(#REF!,1)))</f>
        <v>#REF!</v>
      </c>
      <c r="E17" s="84" t="e">
        <f>IF(#REF!="",-1,_xlfn.NUMBERVALUE(LEFT(#REF!,1)))</f>
        <v>#REF!</v>
      </c>
    </row>
    <row r="18" spans="2:5" x14ac:dyDescent="0.25">
      <c r="B18" s="84" t="e">
        <f>IF(#REF!="",-1,_xlfn.NUMBERVALUE(LEFT(#REF!,1)))</f>
        <v>#REF!</v>
      </c>
      <c r="C18" s="84" t="e">
        <f>IF(#REF!="",-1,_xlfn.NUMBERVALUE(LEFT(#REF!,1)))</f>
        <v>#REF!</v>
      </c>
      <c r="D18" s="84" t="e">
        <f>IF(#REF!="",-1,_xlfn.NUMBERVALUE(LEFT(#REF!,1)))</f>
        <v>#REF!</v>
      </c>
      <c r="E18" s="84" t="e">
        <f>IF(#REF!="",-1,_xlfn.NUMBERVALUE(LEFT(#REF!,1)))</f>
        <v>#REF!</v>
      </c>
    </row>
    <row r="19" spans="2:5" x14ac:dyDescent="0.25">
      <c r="B19" s="84" t="e">
        <f>IF(#REF!="",-1,_xlfn.NUMBERVALUE(LEFT(#REF!,1)))</f>
        <v>#REF!</v>
      </c>
      <c r="C19" s="84" t="e">
        <f>IF(#REF!="",-1,_xlfn.NUMBERVALUE(LEFT(#REF!,1)))</f>
        <v>#REF!</v>
      </c>
      <c r="D19" s="84" t="e">
        <f>IF(#REF!="",-1,_xlfn.NUMBERVALUE(LEFT(#REF!,1)))</f>
        <v>#REF!</v>
      </c>
      <c r="E19" s="84" t="e">
        <f>IF(#REF!="",-1,_xlfn.NUMBERVALUE(LEFT(#REF!,1)))</f>
        <v>#REF!</v>
      </c>
    </row>
    <row r="20" spans="2:5" x14ac:dyDescent="0.25">
      <c r="B20" s="84" t="e">
        <f>IF(#REF!="",-1,_xlfn.NUMBERVALUE(LEFT(#REF!,1)))</f>
        <v>#REF!</v>
      </c>
      <c r="C20" s="84" t="e">
        <f>IF(#REF!="",-1,_xlfn.NUMBERVALUE(LEFT(#REF!,1)))</f>
        <v>#REF!</v>
      </c>
      <c r="D20" s="84" t="e">
        <f>IF(#REF!="",-1,_xlfn.NUMBERVALUE(LEFT(#REF!,1)))</f>
        <v>#REF!</v>
      </c>
      <c r="E20" s="84" t="e">
        <f>IF(#REF!="",-1,_xlfn.NUMBERVALUE(LEFT(#REF!,1)))</f>
        <v>#REF!</v>
      </c>
    </row>
    <row r="21" spans="2:5" x14ac:dyDescent="0.25">
      <c r="B21" s="84" t="e">
        <f>IF(#REF!="",-1,_xlfn.NUMBERVALUE(LEFT(#REF!,1)))</f>
        <v>#REF!</v>
      </c>
      <c r="C21" s="84" t="e">
        <f>IF(#REF!="",-1,_xlfn.NUMBERVALUE(LEFT(#REF!,1)))</f>
        <v>#REF!</v>
      </c>
      <c r="D21" s="84" t="e">
        <f>IF(#REF!="",-1,_xlfn.NUMBERVALUE(LEFT(#REF!,1)))</f>
        <v>#REF!</v>
      </c>
      <c r="E21" s="84" t="e">
        <f>IF(#REF!="",-1,_xlfn.NUMBERVALUE(LEFT(#REF!,1)))</f>
        <v>#REF!</v>
      </c>
    </row>
    <row r="22" spans="2:5" x14ac:dyDescent="0.25">
      <c r="B22" s="84" t="e">
        <f>IF(#REF!="",-1,_xlfn.NUMBERVALUE(LEFT(#REF!,1)))</f>
        <v>#REF!</v>
      </c>
      <c r="C22" s="84" t="e">
        <f>IF(#REF!="",-1,_xlfn.NUMBERVALUE(LEFT(#REF!,1)))</f>
        <v>#REF!</v>
      </c>
      <c r="D22" s="84" t="e">
        <f>IF(#REF!="",-1,_xlfn.NUMBERVALUE(LEFT(#REF!,1)))</f>
        <v>#REF!</v>
      </c>
      <c r="E22" s="84" t="e">
        <f>IF(#REF!="",-1,_xlfn.NUMBERVALUE(LEFT(#REF!,1)))</f>
        <v>#REF!</v>
      </c>
    </row>
    <row r="23" spans="2:5" x14ac:dyDescent="0.25">
      <c r="B23" s="84" t="e">
        <f>IF(#REF!="",-1,_xlfn.NUMBERVALUE(LEFT(#REF!,1)))</f>
        <v>#REF!</v>
      </c>
      <c r="C23" s="84" t="e">
        <f>IF(#REF!="",-1,_xlfn.NUMBERVALUE(LEFT(#REF!,1)))</f>
        <v>#REF!</v>
      </c>
      <c r="D23" s="84" t="e">
        <f>IF(#REF!="",-1,_xlfn.NUMBERVALUE(LEFT(#REF!,1)))</f>
        <v>#REF!</v>
      </c>
      <c r="E23" s="84" t="e">
        <f>IF(#REF!="",-1,_xlfn.NUMBERVALUE(LEFT(#REF!,1)))</f>
        <v>#REF!</v>
      </c>
    </row>
    <row r="24" spans="2:5" x14ac:dyDescent="0.25">
      <c r="B24" s="84" t="e">
        <f>IF(#REF!="",-1,_xlfn.NUMBERVALUE(LEFT(#REF!,1)))</f>
        <v>#REF!</v>
      </c>
      <c r="C24" s="84" t="e">
        <f>IF(#REF!="",-1,_xlfn.NUMBERVALUE(LEFT(#REF!,1)))</f>
        <v>#REF!</v>
      </c>
      <c r="D24" s="84" t="e">
        <f>IF(#REF!="",-1,_xlfn.NUMBERVALUE(LEFT(#REF!,1)))</f>
        <v>#REF!</v>
      </c>
      <c r="E24" s="84" t="e">
        <f>IF(#REF!="",-1,_xlfn.NUMBERVALUE(LEFT(#REF!,1)))</f>
        <v>#REF!</v>
      </c>
    </row>
    <row r="25" spans="2:5" x14ac:dyDescent="0.25">
      <c r="B25" s="84" t="e">
        <f>IF(#REF!="",-1,_xlfn.NUMBERVALUE(LEFT(#REF!,1)))</f>
        <v>#REF!</v>
      </c>
      <c r="C25" s="84" t="e">
        <f>IF(#REF!="",-1,_xlfn.NUMBERVALUE(LEFT(#REF!,1)))</f>
        <v>#REF!</v>
      </c>
      <c r="D25" s="84" t="e">
        <f>IF(#REF!="",-1,_xlfn.NUMBERVALUE(LEFT(#REF!,1)))</f>
        <v>#REF!</v>
      </c>
      <c r="E25" s="84" t="e">
        <f>IF(#REF!="",-1,_xlfn.NUMBERVALUE(LEFT(#REF!,1)))</f>
        <v>#REF!</v>
      </c>
    </row>
    <row r="26" spans="2:5" x14ac:dyDescent="0.25">
      <c r="B26" s="84" t="e">
        <f>IF(#REF!="",-1,_xlfn.NUMBERVALUE(LEFT(#REF!,1)))</f>
        <v>#REF!</v>
      </c>
      <c r="C26" s="84" t="e">
        <f>IF(#REF!="",-1,_xlfn.NUMBERVALUE(LEFT(#REF!,1)))</f>
        <v>#REF!</v>
      </c>
      <c r="D26" s="84" t="e">
        <f>IF(#REF!="",-1,_xlfn.NUMBERVALUE(LEFT(#REF!,1)))</f>
        <v>#REF!</v>
      </c>
      <c r="E26" s="84" t="e">
        <f>IF(#REF!="",-1,_xlfn.NUMBERVALUE(LEFT(#REF!,1)))</f>
        <v>#REF!</v>
      </c>
    </row>
    <row r="27" spans="2:5" x14ac:dyDescent="0.25">
      <c r="B27" s="84" t="e">
        <f>IF(#REF!="",-1,_xlfn.NUMBERVALUE(LEFT(#REF!,1)))</f>
        <v>#REF!</v>
      </c>
      <c r="C27" s="84" t="e">
        <f>IF(#REF!="",-1,_xlfn.NUMBERVALUE(LEFT(#REF!,1)))</f>
        <v>#REF!</v>
      </c>
      <c r="D27" s="84" t="e">
        <f>IF(#REF!="",-1,_xlfn.NUMBERVALUE(LEFT(#REF!,1)))</f>
        <v>#REF!</v>
      </c>
      <c r="E27" s="84" t="e">
        <f>IF(#REF!="",-1,_xlfn.NUMBERVALUE(LEFT(#REF!,1)))</f>
        <v>#REF!</v>
      </c>
    </row>
    <row r="28" spans="2:5" x14ac:dyDescent="0.25">
      <c r="B28" s="84" t="e">
        <f>IF(#REF!="",-1,_xlfn.NUMBERVALUE(LEFT(#REF!,1)))</f>
        <v>#REF!</v>
      </c>
      <c r="C28" s="84" t="e">
        <f>IF(#REF!="",-1,_xlfn.NUMBERVALUE(LEFT(#REF!,1)))</f>
        <v>#REF!</v>
      </c>
      <c r="D28" s="84" t="e">
        <f>IF(#REF!="",-1,_xlfn.NUMBERVALUE(LEFT(#REF!,1)))</f>
        <v>#REF!</v>
      </c>
      <c r="E28" s="84" t="e">
        <f>IF(#REF!="",-1,_xlfn.NUMBERVALUE(LEFT(#REF!,1)))</f>
        <v>#REF!</v>
      </c>
    </row>
    <row r="29" spans="2:5" x14ac:dyDescent="0.25">
      <c r="B29" s="84" t="e">
        <f>IF(#REF!="",-1,_xlfn.NUMBERVALUE(LEFT(#REF!,1)))</f>
        <v>#REF!</v>
      </c>
      <c r="C29" s="84" t="e">
        <f>IF(#REF!="",-1,_xlfn.NUMBERVALUE(LEFT(#REF!,1)))</f>
        <v>#REF!</v>
      </c>
      <c r="D29" s="84" t="e">
        <f>IF(#REF!="",-1,_xlfn.NUMBERVALUE(LEFT(#REF!,1)))</f>
        <v>#REF!</v>
      </c>
      <c r="E29" s="84" t="e">
        <f>IF(#REF!="",-1,_xlfn.NUMBERVALUE(LEFT(#REF!,1)))</f>
        <v>#REF!</v>
      </c>
    </row>
    <row r="30" spans="2:5" x14ac:dyDescent="0.25">
      <c r="B30" s="84" t="e">
        <f>IF(#REF!="",-1,_xlfn.NUMBERVALUE(LEFT(#REF!,1)))</f>
        <v>#REF!</v>
      </c>
      <c r="C30" s="84" t="e">
        <f>IF(#REF!="",-1,_xlfn.NUMBERVALUE(LEFT(#REF!,1)))</f>
        <v>#REF!</v>
      </c>
      <c r="D30" s="84" t="e">
        <f>IF(#REF!="",-1,_xlfn.NUMBERVALUE(LEFT(#REF!,1)))</f>
        <v>#REF!</v>
      </c>
      <c r="E30" s="84" t="e">
        <f>IF(#REF!="",-1,_xlfn.NUMBERVALUE(LEFT(#REF!,1)))</f>
        <v>#REF!</v>
      </c>
    </row>
    <row r="31" spans="2:5" x14ac:dyDescent="0.25">
      <c r="B31" s="84" t="e">
        <f>IF(#REF!="",-1,_xlfn.NUMBERVALUE(LEFT(#REF!,1)))</f>
        <v>#REF!</v>
      </c>
      <c r="C31" s="84" t="e">
        <f>IF(#REF!="",-1,_xlfn.NUMBERVALUE(LEFT(#REF!,1)))</f>
        <v>#REF!</v>
      </c>
      <c r="D31" s="84" t="e">
        <f>IF(#REF!="",-1,_xlfn.NUMBERVALUE(LEFT(#REF!,1)))</f>
        <v>#REF!</v>
      </c>
      <c r="E31" s="84" t="e">
        <f>IF(#REF!="",-1,_xlfn.NUMBERVALUE(LEFT(#REF!,1)))</f>
        <v>#REF!</v>
      </c>
    </row>
    <row r="32" spans="2:5" x14ac:dyDescent="0.25">
      <c r="B32" s="84" t="e">
        <f>IF(#REF!="",-1,_xlfn.NUMBERVALUE(LEFT(#REF!,1)))</f>
        <v>#REF!</v>
      </c>
      <c r="C32" s="84" t="e">
        <f>IF(#REF!="",-1,_xlfn.NUMBERVALUE(LEFT(#REF!,1)))</f>
        <v>#REF!</v>
      </c>
      <c r="D32" s="84" t="e">
        <f>IF(#REF!="",-1,_xlfn.NUMBERVALUE(LEFT(#REF!,1)))</f>
        <v>#REF!</v>
      </c>
      <c r="E32" s="84" t="e">
        <f>IF(#REF!="",-1,_xlfn.NUMBERVALUE(LEFT(#REF!,1)))</f>
        <v>#REF!</v>
      </c>
    </row>
    <row r="33" spans="2:5" x14ac:dyDescent="0.25">
      <c r="B33" s="84" t="e">
        <f>IF(#REF!="",-1,_xlfn.NUMBERVALUE(LEFT(#REF!,1)))</f>
        <v>#REF!</v>
      </c>
      <c r="C33" s="84" t="e">
        <f>IF(#REF!="",-1,_xlfn.NUMBERVALUE(LEFT(#REF!,1)))</f>
        <v>#REF!</v>
      </c>
      <c r="D33" s="84" t="e">
        <f>IF(#REF!="",-1,_xlfn.NUMBERVALUE(LEFT(#REF!,1)))</f>
        <v>#REF!</v>
      </c>
      <c r="E33" s="84" t="e">
        <f>IF(#REF!="",-1,_xlfn.NUMBERVALUE(LEFT(#REF!,1)))</f>
        <v>#REF!</v>
      </c>
    </row>
    <row r="34" spans="2:5" x14ac:dyDescent="0.25">
      <c r="B34" s="84" t="e">
        <f>IF(#REF!="",-1,_xlfn.NUMBERVALUE(LEFT(#REF!,1)))</f>
        <v>#REF!</v>
      </c>
      <c r="C34" s="84" t="e">
        <f>IF(#REF!="",-1,_xlfn.NUMBERVALUE(LEFT(#REF!,1)))</f>
        <v>#REF!</v>
      </c>
      <c r="D34" s="84" t="e">
        <f>IF(#REF!="",-1,_xlfn.NUMBERVALUE(LEFT(#REF!,1)))</f>
        <v>#REF!</v>
      </c>
      <c r="E34" s="84" t="e">
        <f>IF(#REF!="",-1,_xlfn.NUMBERVALUE(LEFT(#REF!,1)))</f>
        <v>#REF!</v>
      </c>
    </row>
    <row r="35" spans="2:5" x14ac:dyDescent="0.25">
      <c r="B35" s="84" t="e">
        <f>IF(#REF!="",-1,_xlfn.NUMBERVALUE(LEFT(#REF!,1)))</f>
        <v>#REF!</v>
      </c>
      <c r="C35" s="84" t="e">
        <f>IF(#REF!="",-1,_xlfn.NUMBERVALUE(LEFT(#REF!,1)))</f>
        <v>#REF!</v>
      </c>
      <c r="D35" s="84" t="e">
        <f>IF(#REF!="",-1,_xlfn.NUMBERVALUE(LEFT(#REF!,1)))</f>
        <v>#REF!</v>
      </c>
      <c r="E35" s="84" t="e">
        <f>IF(#REF!="",-1,_xlfn.NUMBERVALUE(LEFT(#REF!,1)))</f>
        <v>#REF!</v>
      </c>
    </row>
    <row r="36" spans="2:5" x14ac:dyDescent="0.25">
      <c r="B36" s="84" t="e">
        <f>IF(#REF!="",-1,_xlfn.NUMBERVALUE(LEFT(#REF!,1)))</f>
        <v>#REF!</v>
      </c>
      <c r="C36" s="84" t="e">
        <f>IF(#REF!="",-1,_xlfn.NUMBERVALUE(LEFT(#REF!,1)))</f>
        <v>#REF!</v>
      </c>
      <c r="D36" s="84" t="e">
        <f>IF(#REF!="",-1,_xlfn.NUMBERVALUE(LEFT(#REF!,1)))</f>
        <v>#REF!</v>
      </c>
      <c r="E36" s="84" t="e">
        <f>IF(#REF!="",-1,_xlfn.NUMBERVALUE(LEFT(#REF!,1)))</f>
        <v>#REF!</v>
      </c>
    </row>
    <row r="37" spans="2:5" x14ac:dyDescent="0.25">
      <c r="B37" s="84" t="e">
        <f>IF(#REF!="",-1,_xlfn.NUMBERVALUE(LEFT(#REF!,1)))</f>
        <v>#REF!</v>
      </c>
      <c r="C37" s="84" t="e">
        <f>IF(#REF!="",-1,_xlfn.NUMBERVALUE(LEFT(#REF!,1)))</f>
        <v>#REF!</v>
      </c>
      <c r="D37" s="84" t="e">
        <f>IF(#REF!="",-1,_xlfn.NUMBERVALUE(LEFT(#REF!,1)))</f>
        <v>#REF!</v>
      </c>
      <c r="E37" s="84" t="e">
        <f>IF(#REF!="",-1,_xlfn.NUMBERVALUE(LEFT(#REF!,1)))</f>
        <v>#REF!</v>
      </c>
    </row>
    <row r="38" spans="2:5" x14ac:dyDescent="0.25">
      <c r="B38" s="84" t="e">
        <f>IF(#REF!="",-1,_xlfn.NUMBERVALUE(LEFT(#REF!,1)))</f>
        <v>#REF!</v>
      </c>
      <c r="C38" s="84" t="e">
        <f>IF(#REF!="",-1,_xlfn.NUMBERVALUE(LEFT(#REF!,1)))</f>
        <v>#REF!</v>
      </c>
      <c r="D38" s="84" t="e">
        <f>IF(#REF!="",-1,_xlfn.NUMBERVALUE(LEFT(#REF!,1)))</f>
        <v>#REF!</v>
      </c>
      <c r="E38" s="84" t="e">
        <f>IF(#REF!="",-1,_xlfn.NUMBERVALUE(LEFT(#REF!,1)))</f>
        <v>#REF!</v>
      </c>
    </row>
    <row r="39" spans="2:5" x14ac:dyDescent="0.25">
      <c r="B39" s="84" t="e">
        <f>IF(#REF!="",-1,_xlfn.NUMBERVALUE(LEFT(#REF!,1)))</f>
        <v>#REF!</v>
      </c>
      <c r="C39" s="84" t="e">
        <f>IF(#REF!="",-1,_xlfn.NUMBERVALUE(LEFT(#REF!,1)))</f>
        <v>#REF!</v>
      </c>
      <c r="D39" s="84" t="e">
        <f>IF(#REF!="",-1,_xlfn.NUMBERVALUE(LEFT(#REF!,1)))</f>
        <v>#REF!</v>
      </c>
      <c r="E39" s="84" t="e">
        <f>IF(#REF!="",-1,_xlfn.NUMBERVALUE(LEFT(#REF!,1)))</f>
        <v>#REF!</v>
      </c>
    </row>
    <row r="40" spans="2:5" x14ac:dyDescent="0.25">
      <c r="B40" s="84" t="e">
        <f>IF(#REF!="",-1,_xlfn.NUMBERVALUE(LEFT(#REF!,1)))</f>
        <v>#REF!</v>
      </c>
      <c r="C40" s="84" t="e">
        <f>IF(#REF!="",-1,_xlfn.NUMBERVALUE(LEFT(#REF!,1)))</f>
        <v>#REF!</v>
      </c>
      <c r="D40" s="84" t="e">
        <f>IF(#REF!="",-1,_xlfn.NUMBERVALUE(LEFT(#REF!,1)))</f>
        <v>#REF!</v>
      </c>
      <c r="E40" s="84" t="e">
        <f>IF(#REF!="",-1,_xlfn.NUMBERVALUE(LEFT(#REF!,1)))</f>
        <v>#REF!</v>
      </c>
    </row>
    <row r="41" spans="2:5" x14ac:dyDescent="0.25">
      <c r="B41" s="84" t="e">
        <f>IF(#REF!="",-1,_xlfn.NUMBERVALUE(LEFT(#REF!,1)))</f>
        <v>#REF!</v>
      </c>
      <c r="C41" s="84" t="e">
        <f>IF(#REF!="",-1,_xlfn.NUMBERVALUE(LEFT(#REF!,1)))</f>
        <v>#REF!</v>
      </c>
      <c r="D41" s="84" t="e">
        <f>IF(#REF!="",-1,_xlfn.NUMBERVALUE(LEFT(#REF!,1)))</f>
        <v>#REF!</v>
      </c>
      <c r="E41" s="84" t="e">
        <f>IF(#REF!="",-1,_xlfn.NUMBERVALUE(LEFT(#REF!,1)))</f>
        <v>#REF!</v>
      </c>
    </row>
    <row r="42" spans="2:5" x14ac:dyDescent="0.25">
      <c r="B42" s="84" t="e">
        <f>IF(#REF!="",-1,_xlfn.NUMBERVALUE(LEFT(#REF!,1)))</f>
        <v>#REF!</v>
      </c>
      <c r="C42" s="84" t="e">
        <f>IF(#REF!="",-1,_xlfn.NUMBERVALUE(LEFT(#REF!,1)))</f>
        <v>#REF!</v>
      </c>
      <c r="D42" s="84" t="e">
        <f>IF(#REF!="",-1,_xlfn.NUMBERVALUE(LEFT(#REF!,1)))</f>
        <v>#REF!</v>
      </c>
      <c r="E42" s="84" t="e">
        <f>IF(#REF!="",-1,_xlfn.NUMBERVALUE(LEFT(#REF!,1)))</f>
        <v>#REF!</v>
      </c>
    </row>
    <row r="43" spans="2:5" x14ac:dyDescent="0.25">
      <c r="B43" s="84" t="e">
        <f>IF(#REF!="",-1,_xlfn.NUMBERVALUE(LEFT(#REF!,1)))</f>
        <v>#REF!</v>
      </c>
      <c r="C43" s="84" t="e">
        <f>IF(#REF!="",-1,_xlfn.NUMBERVALUE(LEFT(#REF!,1)))</f>
        <v>#REF!</v>
      </c>
      <c r="D43" s="84" t="e">
        <f>IF(#REF!="",-1,_xlfn.NUMBERVALUE(LEFT(#REF!,1)))</f>
        <v>#REF!</v>
      </c>
      <c r="E43" s="84" t="e">
        <f>IF(#REF!="",-1,_xlfn.NUMBERVALUE(LEFT(#REF!,1)))</f>
        <v>#REF!</v>
      </c>
    </row>
    <row r="44" spans="2:5" x14ac:dyDescent="0.25">
      <c r="B44" s="84" t="e">
        <f>IF(#REF!="",-1,_xlfn.NUMBERVALUE(LEFT(#REF!,1)))</f>
        <v>#REF!</v>
      </c>
      <c r="C44" s="84" t="e">
        <f>IF(#REF!="",-1,_xlfn.NUMBERVALUE(LEFT(#REF!,1)))</f>
        <v>#REF!</v>
      </c>
      <c r="D44" s="84" t="e">
        <f>IF(#REF!="",-1,_xlfn.NUMBERVALUE(LEFT(#REF!,1)))</f>
        <v>#REF!</v>
      </c>
      <c r="E44" s="84" t="e">
        <f>IF(#REF!="",-1,_xlfn.NUMBERVALUE(LEFT(#REF!,1)))</f>
        <v>#REF!</v>
      </c>
    </row>
    <row r="45" spans="2:5" x14ac:dyDescent="0.25">
      <c r="B45" s="84" t="e">
        <f>IF(#REF!="",-1,_xlfn.NUMBERVALUE(LEFT(#REF!,1)))</f>
        <v>#REF!</v>
      </c>
      <c r="C45" s="84" t="e">
        <f>IF(#REF!="",-1,_xlfn.NUMBERVALUE(LEFT(#REF!,1)))</f>
        <v>#REF!</v>
      </c>
      <c r="D45" s="84" t="e">
        <f>IF(#REF!="",-1,_xlfn.NUMBERVALUE(LEFT(#REF!,1)))</f>
        <v>#REF!</v>
      </c>
      <c r="E45" s="84" t="e">
        <f>IF(#REF!="",-1,_xlfn.NUMBERVALUE(LEFT(#REF!,1)))</f>
        <v>#REF!</v>
      </c>
    </row>
    <row r="47" spans="2:5" x14ac:dyDescent="0.25">
      <c r="B47" t="s">
        <v>126</v>
      </c>
      <c r="C47" t="s">
        <v>127</v>
      </c>
      <c r="D47" t="s">
        <v>128</v>
      </c>
      <c r="E47" t="s">
        <v>129</v>
      </c>
    </row>
    <row r="48" spans="2:5" x14ac:dyDescent="0.25">
      <c r="B48" s="71" t="e">
        <f>AVERAGEIF(B8:B45,"&gt;-1")</f>
        <v>#DIV/0!</v>
      </c>
      <c r="C48" s="71" t="e">
        <f t="shared" ref="C48:E48" si="0">AVERAGEIF(C8:C45,"&gt;-1")</f>
        <v>#DIV/0!</v>
      </c>
      <c r="D48" s="71" t="e">
        <f t="shared" si="0"/>
        <v>#DIV/0!</v>
      </c>
      <c r="E48" s="71" t="e">
        <f t="shared" si="0"/>
        <v>#DIV/0!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B1:V20"/>
  <sheetViews>
    <sheetView showGridLines="0" topLeftCell="A3" zoomScale="90" zoomScaleNormal="90" workbookViewId="0">
      <selection activeCell="F9" sqref="F9:G9"/>
    </sheetView>
  </sheetViews>
  <sheetFormatPr defaultColWidth="9.140625" defaultRowHeight="12.75" x14ac:dyDescent="0.2"/>
  <cols>
    <col min="1" max="1" width="2.85546875" style="1" customWidth="1"/>
    <col min="2" max="2" width="21.42578125" style="1" customWidth="1"/>
    <col min="3" max="3" width="79" style="60" customWidth="1"/>
    <col min="4" max="4" width="9.140625" style="1"/>
    <col min="5" max="5" width="9.140625" style="1" bestFit="1" customWidth="1"/>
    <col min="6" max="6" width="25.140625" style="1" customWidth="1"/>
    <col min="7" max="7" width="40.85546875" style="1" customWidth="1"/>
    <col min="8" max="8" width="9.140625" style="1" bestFit="1" customWidth="1"/>
    <col min="9" max="12" width="9.140625" style="1"/>
    <col min="13" max="13" width="17.5703125" style="1" customWidth="1"/>
    <col min="14" max="16384" width="9.140625" style="1"/>
  </cols>
  <sheetData>
    <row r="1" spans="2:22" ht="15" customHeight="1" x14ac:dyDescent="0.2"/>
    <row r="2" spans="2:22" ht="33.6" customHeight="1" x14ac:dyDescent="0.2">
      <c r="B2" s="59" t="s">
        <v>229</v>
      </c>
      <c r="C2" s="61"/>
      <c r="D2" s="56"/>
      <c r="E2" s="56"/>
      <c r="F2" s="56"/>
      <c r="G2" s="56"/>
      <c r="H2" s="56"/>
      <c r="I2" s="56"/>
      <c r="J2" s="56"/>
      <c r="K2" s="56"/>
      <c r="L2" s="56"/>
      <c r="M2" s="56"/>
      <c r="N2" s="57"/>
    </row>
    <row r="3" spans="2:22" x14ac:dyDescent="0.2">
      <c r="B3" s="39"/>
    </row>
    <row r="4" spans="2:22" ht="58.7" customHeight="1" x14ac:dyDescent="0.2">
      <c r="B4" s="157" t="s">
        <v>227</v>
      </c>
      <c r="C4" s="157"/>
      <c r="F4" s="158" t="s">
        <v>228</v>
      </c>
      <c r="G4" s="158"/>
    </row>
    <row r="5" spans="2:22" ht="13.5" thickBot="1" x14ac:dyDescent="0.25"/>
    <row r="6" spans="2:22" ht="26.25" x14ac:dyDescent="0.25">
      <c r="B6" s="103" t="s">
        <v>130</v>
      </c>
      <c r="C6" s="95"/>
      <c r="F6" s="102" t="s">
        <v>230</v>
      </c>
      <c r="G6" s="130" t="s">
        <v>231</v>
      </c>
      <c r="H6" s="53"/>
      <c r="I6" s="53"/>
      <c r="J6" s="53"/>
      <c r="K6" s="53"/>
      <c r="L6" s="53"/>
      <c r="M6" s="53"/>
      <c r="N6" s="53"/>
    </row>
    <row r="7" spans="2:22" x14ac:dyDescent="0.2">
      <c r="B7" s="51" t="str">
        <f>'HIDE - Data Validation'!B4</f>
        <v>0 (Imposible)</v>
      </c>
      <c r="C7" s="63" t="s">
        <v>232</v>
      </c>
      <c r="F7" s="78" t="s">
        <v>131</v>
      </c>
      <c r="G7" s="82">
        <v>15</v>
      </c>
      <c r="H7" s="54"/>
    </row>
    <row r="8" spans="2:22" ht="25.5" x14ac:dyDescent="0.2">
      <c r="B8" s="51" t="str">
        <f>'HIDE - Data Validation'!B5</f>
        <v>1 (Muy bajo)</v>
      </c>
      <c r="C8" s="64" t="s">
        <v>237</v>
      </c>
      <c r="F8" s="79" t="s">
        <v>132</v>
      </c>
      <c r="G8" s="82">
        <v>9</v>
      </c>
      <c r="H8" s="54"/>
    </row>
    <row r="9" spans="2:22" ht="25.5" x14ac:dyDescent="0.2">
      <c r="B9" s="51" t="str">
        <f>'HIDE - Data Validation'!B6</f>
        <v>2 (Bajo)</v>
      </c>
      <c r="C9" s="65" t="s">
        <v>238</v>
      </c>
      <c r="F9" s="80" t="s">
        <v>133</v>
      </c>
      <c r="G9" s="82">
        <v>4</v>
      </c>
      <c r="H9" s="54"/>
    </row>
    <row r="10" spans="2:22" ht="25.5" x14ac:dyDescent="0.2">
      <c r="B10" s="51" t="str">
        <f>'HIDE - Data Validation'!B7</f>
        <v>3 (Medio)</v>
      </c>
      <c r="C10" s="64" t="s">
        <v>239</v>
      </c>
      <c r="F10" s="81" t="s">
        <v>134</v>
      </c>
      <c r="G10" s="82">
        <v>1</v>
      </c>
      <c r="H10" s="54"/>
    </row>
    <row r="11" spans="2:22" x14ac:dyDescent="0.2">
      <c r="B11" s="51" t="str">
        <f>'HIDE - Data Validation'!B8</f>
        <v>4 (Alto)</v>
      </c>
      <c r="C11" s="63" t="s">
        <v>240</v>
      </c>
      <c r="F11" s="72" t="s">
        <v>135</v>
      </c>
      <c r="G11" s="82">
        <v>0</v>
      </c>
      <c r="H11" s="54"/>
    </row>
    <row r="12" spans="2:22" ht="26.25" thickBot="1" x14ac:dyDescent="0.25">
      <c r="B12" s="66" t="str">
        <f>'HIDE - Data Validation'!B9</f>
        <v>5 (Muy Alto)</v>
      </c>
      <c r="C12" s="67" t="s">
        <v>241</v>
      </c>
      <c r="H12" s="54"/>
    </row>
    <row r="13" spans="2:22" ht="13.5" thickBot="1" x14ac:dyDescent="0.25"/>
    <row r="14" spans="2:22" ht="15.75" x14ac:dyDescent="0.25">
      <c r="B14" s="103" t="s">
        <v>136</v>
      </c>
      <c r="C14" s="95"/>
      <c r="H14" s="53"/>
      <c r="I14" s="53"/>
      <c r="J14" s="53"/>
      <c r="K14" s="53"/>
      <c r="L14" s="53"/>
      <c r="M14" s="53"/>
      <c r="N14" s="53"/>
      <c r="P14" s="53"/>
      <c r="Q14" s="53"/>
      <c r="R14" s="53"/>
      <c r="S14" s="53"/>
      <c r="T14" s="53"/>
      <c r="U14" s="53"/>
      <c r="V14" s="53"/>
    </row>
    <row r="15" spans="2:22" x14ac:dyDescent="0.2">
      <c r="B15" s="52" t="str">
        <f>'HIDE - Data Validation'!D4</f>
        <v>0 (N/A)</v>
      </c>
      <c r="C15" s="63" t="s">
        <v>233</v>
      </c>
      <c r="H15" s="54"/>
      <c r="P15" s="54"/>
    </row>
    <row r="16" spans="2:22" x14ac:dyDescent="0.2">
      <c r="B16" s="52" t="str">
        <f>'HIDE - Data Validation'!D5</f>
        <v>1 (Muy bajo)</v>
      </c>
      <c r="C16" s="64" t="s">
        <v>242</v>
      </c>
      <c r="H16" s="54"/>
      <c r="P16" s="54"/>
    </row>
    <row r="17" spans="2:16" x14ac:dyDescent="0.2">
      <c r="B17" s="52" t="str">
        <f>'HIDE - Data Validation'!D6</f>
        <v>2 (Bajo)</v>
      </c>
      <c r="C17" s="65" t="s">
        <v>243</v>
      </c>
      <c r="H17" s="54"/>
      <c r="P17" s="54"/>
    </row>
    <row r="18" spans="2:16" ht="25.5" x14ac:dyDescent="0.2">
      <c r="B18" s="52" t="str">
        <f>'HIDE - Data Validation'!D7</f>
        <v>3 (Medio)</v>
      </c>
      <c r="C18" s="64" t="s">
        <v>244</v>
      </c>
      <c r="H18" s="54"/>
      <c r="P18" s="54"/>
    </row>
    <row r="19" spans="2:16" ht="25.5" x14ac:dyDescent="0.2">
      <c r="B19" s="52" t="str">
        <f>'HIDE - Data Validation'!D8</f>
        <v>4 (Alto)</v>
      </c>
      <c r="C19" s="63" t="s">
        <v>245</v>
      </c>
      <c r="H19" s="54"/>
      <c r="P19" s="54"/>
    </row>
    <row r="20" spans="2:16" ht="26.25" thickBot="1" x14ac:dyDescent="0.25">
      <c r="B20" s="68" t="str">
        <f>'HIDE - Data Validation'!D9</f>
        <v>5 (Muy Alto)</v>
      </c>
      <c r="C20" s="67" t="s">
        <v>246</v>
      </c>
      <c r="H20" s="54"/>
      <c r="P20" s="54"/>
    </row>
  </sheetData>
  <mergeCells count="2">
    <mergeCell ref="B4:C4"/>
    <mergeCell ref="F4:G4"/>
  </mergeCells>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92E7-F71F-4FD9-A5D0-75E09C4E97FC}">
  <dimension ref="B1:F9"/>
  <sheetViews>
    <sheetView zoomScaleNormal="100" workbookViewId="0">
      <selection activeCell="F7" sqref="F7"/>
    </sheetView>
  </sheetViews>
  <sheetFormatPr defaultColWidth="9.140625" defaultRowHeight="15" x14ac:dyDescent="0.25"/>
  <cols>
    <col min="2" max="2" width="23.5703125" customWidth="1"/>
    <col min="4" max="4" width="26.85546875" customWidth="1"/>
    <col min="6" max="6" width="24.85546875" customWidth="1"/>
    <col min="7" max="7" width="5.140625" customWidth="1"/>
    <col min="8" max="8" width="18.85546875" customWidth="1"/>
  </cols>
  <sheetData>
    <row r="1" spans="2:6" x14ac:dyDescent="0.25">
      <c r="B1" t="s">
        <v>137</v>
      </c>
    </row>
    <row r="3" spans="2:6" x14ac:dyDescent="0.25">
      <c r="B3" s="70" t="s">
        <v>138</v>
      </c>
      <c r="D3" s="70" t="s">
        <v>139</v>
      </c>
      <c r="F3" s="70" t="s">
        <v>140</v>
      </c>
    </row>
    <row r="4" spans="2:6" x14ac:dyDescent="0.25">
      <c r="B4" s="51" t="s">
        <v>141</v>
      </c>
      <c r="D4" s="52" t="s">
        <v>142</v>
      </c>
      <c r="F4" t="s">
        <v>143</v>
      </c>
    </row>
    <row r="5" spans="2:6" x14ac:dyDescent="0.25">
      <c r="B5" s="51" t="s">
        <v>144</v>
      </c>
      <c r="D5" s="51" t="s">
        <v>144</v>
      </c>
      <c r="F5" t="s">
        <v>145</v>
      </c>
    </row>
    <row r="6" spans="2:6" x14ac:dyDescent="0.25">
      <c r="B6" s="51" t="s">
        <v>50</v>
      </c>
      <c r="D6" s="51" t="s">
        <v>50</v>
      </c>
      <c r="F6" t="s">
        <v>146</v>
      </c>
    </row>
    <row r="7" spans="2:6" x14ac:dyDescent="0.25">
      <c r="B7" s="51" t="s">
        <v>147</v>
      </c>
      <c r="D7" s="51" t="s">
        <v>147</v>
      </c>
      <c r="F7" t="s">
        <v>148</v>
      </c>
    </row>
    <row r="8" spans="2:6" x14ac:dyDescent="0.25">
      <c r="B8" s="51" t="s">
        <v>149</v>
      </c>
      <c r="D8" s="51" t="s">
        <v>149</v>
      </c>
    </row>
    <row r="9" spans="2:6" ht="15.75" thickBot="1" x14ac:dyDescent="0.3">
      <c r="B9" s="66" t="s">
        <v>150</v>
      </c>
      <c r="D9" s="66" t="s">
        <v>150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AM78"/>
  <sheetViews>
    <sheetView showGridLines="0" zoomScaleNormal="100" workbookViewId="0"/>
  </sheetViews>
  <sheetFormatPr defaultColWidth="0" defaultRowHeight="15" customHeight="1" zeroHeight="1" x14ac:dyDescent="0.25"/>
  <cols>
    <col min="1" max="1" width="1.5703125" style="3" customWidth="1"/>
    <col min="2" max="2" width="15.5703125" style="3" customWidth="1"/>
    <col min="3" max="3" width="14.42578125" style="3" customWidth="1"/>
    <col min="4" max="4" width="12" style="3" customWidth="1"/>
    <col min="5" max="5" width="2" style="3" customWidth="1"/>
    <col min="6" max="6" width="14.5703125" style="3" hidden="1" customWidth="1"/>
    <col min="7" max="7" width="3.5703125" style="3" hidden="1" customWidth="1"/>
    <col min="8" max="8" width="10" style="3" hidden="1" customWidth="1"/>
    <col min="9" max="9" width="7.5703125" style="3" hidden="1" customWidth="1"/>
    <col min="10" max="10" width="2" style="3" hidden="1" customWidth="1"/>
    <col min="11" max="12" width="7.5703125" style="3" hidden="1" customWidth="1"/>
    <col min="13" max="13" width="2" style="3" hidden="1" customWidth="1"/>
    <col min="14" max="15" width="7.5703125" style="3" hidden="1" customWidth="1"/>
    <col min="16" max="16" width="2" style="3" hidden="1" customWidth="1"/>
    <col min="17" max="18" width="7.5703125" style="3" hidden="1" customWidth="1"/>
    <col min="19" max="19" width="1.85546875" style="3" customWidth="1"/>
    <col min="20" max="20" width="14" style="3" customWidth="1"/>
    <col min="21" max="21" width="14.140625" style="3" customWidth="1"/>
    <col min="22" max="22" width="4.140625" style="3" customWidth="1"/>
    <col min="23" max="23" width="14" style="3" customWidth="1"/>
    <col min="24" max="24" width="14.5703125" style="3" customWidth="1"/>
    <col min="25" max="27" width="5.5703125" style="3" customWidth="1"/>
    <col min="28" max="33" width="9.140625" style="3" customWidth="1"/>
    <col min="34" max="34" width="3.5703125" style="3" customWidth="1"/>
    <col min="35" max="35" width="14" style="3" customWidth="1"/>
    <col min="36" max="36" width="15.42578125" style="3" customWidth="1"/>
    <col min="37" max="37" width="5.85546875" style="3" customWidth="1"/>
    <col min="38" max="39" width="14.5703125" style="3" hidden="1" customWidth="1"/>
    <col min="40" max="16384" width="9.140625" style="3" hidden="1"/>
  </cols>
  <sheetData>
    <row r="1" spans="2:36" x14ac:dyDescent="0.25"/>
    <row r="2" spans="2:36" ht="30" x14ac:dyDescent="0.25">
      <c r="B2" s="40"/>
      <c r="C2" s="41" t="s">
        <v>151</v>
      </c>
      <c r="D2" s="41" t="s">
        <v>152</v>
      </c>
      <c r="AI2" s="159" t="s">
        <v>153</v>
      </c>
      <c r="AJ2" s="160"/>
    </row>
    <row r="3" spans="2:36" x14ac:dyDescent="0.25">
      <c r="B3" s="40" t="s">
        <v>154</v>
      </c>
      <c r="C3" s="40">
        <v>8</v>
      </c>
      <c r="D3" s="40">
        <v>6</v>
      </c>
      <c r="AI3" s="40" t="s">
        <v>155</v>
      </c>
      <c r="AJ3" s="40" t="s">
        <v>156</v>
      </c>
    </row>
    <row r="4" spans="2:36" x14ac:dyDescent="0.25">
      <c r="B4" s="40" t="s">
        <v>157</v>
      </c>
      <c r="C4" s="40">
        <v>0</v>
      </c>
      <c r="D4" s="40">
        <v>0</v>
      </c>
      <c r="AI4" s="40" t="s">
        <v>158</v>
      </c>
      <c r="AJ4" s="40" t="s">
        <v>159</v>
      </c>
    </row>
    <row r="5" spans="2:36" x14ac:dyDescent="0.25">
      <c r="B5" s="40" t="s">
        <v>160</v>
      </c>
      <c r="C5" s="42">
        <f>AVERAGE(C3:C4)</f>
        <v>4</v>
      </c>
      <c r="D5" s="42">
        <f>AVERAGE(D3:D4)</f>
        <v>3</v>
      </c>
      <c r="AI5" s="40" t="s">
        <v>161</v>
      </c>
      <c r="AJ5" s="40" t="s">
        <v>162</v>
      </c>
    </row>
    <row r="6" spans="2:36" x14ac:dyDescent="0.25">
      <c r="AI6" s="40" t="s">
        <v>163</v>
      </c>
      <c r="AJ6" s="40" t="s">
        <v>164</v>
      </c>
    </row>
    <row r="7" spans="2:36" x14ac:dyDescent="0.25"/>
    <row r="8" spans="2:36" x14ac:dyDescent="0.25"/>
    <row r="9" spans="2:36" x14ac:dyDescent="0.25"/>
    <row r="10" spans="2:36" x14ac:dyDescent="0.25"/>
    <row r="11" spans="2:36" x14ac:dyDescent="0.25"/>
    <row r="12" spans="2:36" x14ac:dyDescent="0.25"/>
    <row r="13" spans="2:36" x14ac:dyDescent="0.25"/>
    <row r="14" spans="2:36" x14ac:dyDescent="0.25"/>
    <row r="15" spans="2:36" x14ac:dyDescent="0.25"/>
    <row r="16" spans="2:36" ht="30" customHeight="1" x14ac:dyDescent="0.25">
      <c r="H16" s="161" t="s">
        <v>165</v>
      </c>
      <c r="I16" s="161"/>
      <c r="J16" s="43"/>
      <c r="K16" s="161" t="s">
        <v>166</v>
      </c>
      <c r="L16" s="161"/>
      <c r="M16" s="43"/>
      <c r="N16" s="161" t="s">
        <v>167</v>
      </c>
      <c r="O16" s="161"/>
      <c r="P16" s="43"/>
      <c r="Q16" s="161" t="s">
        <v>168</v>
      </c>
      <c r="R16" s="161"/>
      <c r="S16" s="43"/>
      <c r="T16" s="162" t="s">
        <v>169</v>
      </c>
      <c r="U16" s="162"/>
    </row>
    <row r="17" spans="2:38" s="44" customFormat="1" ht="37.5" customHeight="1" x14ac:dyDescent="0.25">
      <c r="B17" s="41" t="s">
        <v>170</v>
      </c>
      <c r="C17" s="41" t="s">
        <v>171</v>
      </c>
      <c r="D17" s="41" t="s">
        <v>172</v>
      </c>
      <c r="F17" s="41" t="s">
        <v>173</v>
      </c>
      <c r="H17" s="41" t="s">
        <v>171</v>
      </c>
      <c r="I17" s="41" t="s">
        <v>172</v>
      </c>
      <c r="K17" s="41" t="s">
        <v>171</v>
      </c>
      <c r="L17" s="41" t="s">
        <v>172</v>
      </c>
      <c r="N17" s="41" t="s">
        <v>171</v>
      </c>
      <c r="O17" s="41" t="s">
        <v>172</v>
      </c>
      <c r="Q17" s="41" t="s">
        <v>171</v>
      </c>
      <c r="R17" s="41" t="s">
        <v>172</v>
      </c>
      <c r="T17" s="41" t="s">
        <v>174</v>
      </c>
      <c r="U17" s="41" t="s">
        <v>175</v>
      </c>
      <c r="AI17" s="58" t="s">
        <v>175</v>
      </c>
      <c r="AJ17" s="58" t="s">
        <v>170</v>
      </c>
      <c r="AL17" s="58" t="s">
        <v>176</v>
      </c>
    </row>
    <row r="18" spans="2:38" x14ac:dyDescent="0.25">
      <c r="B18" s="45" t="s">
        <v>177</v>
      </c>
      <c r="C18" s="40">
        <v>4</v>
      </c>
      <c r="D18" s="40">
        <v>0</v>
      </c>
      <c r="F18" s="42" t="str">
        <f>IF(OR(C18="",D18=""),NA(),IF(AND(C18&gt;=$C$5,D18&gt;=$D$5),"TOP RIGHT",IF(AND(C18&gt;$C$5,D18&lt;$D$5),"BOTTOM RIGHT",IF(AND(C18&lt;$C$5,D18&gt;$D$5),"TOP LEFT",IF(AND(C18&lt;=$C$5,D18&lt;=$D$5),"BOTTOM LEFT",NA())))))</f>
        <v>BOTTOM LEFT</v>
      </c>
      <c r="H18" s="42" t="e">
        <f>IF($F18="TOP RIGHT",C18,NA())</f>
        <v>#N/A</v>
      </c>
      <c r="I18" s="42" t="e">
        <f>IF($F18="TOP RIGHT",D18,NA())</f>
        <v>#N/A</v>
      </c>
      <c r="K18" s="42" t="e">
        <f>IF($F18="BOTTOM RIGHT",C18,NA())</f>
        <v>#N/A</v>
      </c>
      <c r="L18" s="42" t="e">
        <f>IF($F18="BOTTOM RIGHT",D18,NA())</f>
        <v>#N/A</v>
      </c>
      <c r="N18" s="42" t="e">
        <f>IF($F18="TOP LEFT",C18,NA())</f>
        <v>#N/A</v>
      </c>
      <c r="O18" s="42" t="e">
        <f>IF($F18="TOP LEFT",D18,NA())</f>
        <v>#N/A</v>
      </c>
      <c r="Q18" s="42">
        <f>IF($F18="BOTTOM LEFT",C18,NA())</f>
        <v>4</v>
      </c>
      <c r="R18" s="42">
        <f>IF($F18="BOTTOM LEFT",D18,NA())</f>
        <v>0</v>
      </c>
      <c r="T18" s="42">
        <f t="shared" ref="T18:T67" si="0">IF(F18=$AJ$3,(100-(C18+D18)),IF(F18=$AJ$4,(100-(C18+D18))+100,IF(F18=$AJ$5,(100-(C18+D18))+200,IF(F18=$AJ$6,(100-(C18+D18))+300,""))))</f>
        <v>396</v>
      </c>
      <c r="U18" s="42">
        <f>RANK(T18,$T$18:$T$67,1)+COUNTIF(T18:$T$67,T18)-1</f>
        <v>47</v>
      </c>
      <c r="AI18" s="45">
        <v>1</v>
      </c>
      <c r="AJ18" s="45" t="str">
        <f>INDEX($B$18:$B$67,MATCH(AI18,$U$18:$U$67,0))</f>
        <v>#41</v>
      </c>
      <c r="AL18" s="40" t="str">
        <f>INDEX($F$18:$F$67,MATCH(AJ18,$B$18:$B$67,0))</f>
        <v>TOP RIGHT</v>
      </c>
    </row>
    <row r="19" spans="2:38" x14ac:dyDescent="0.25">
      <c r="B19" s="45" t="s">
        <v>178</v>
      </c>
      <c r="C19" s="40">
        <v>5</v>
      </c>
      <c r="D19" s="40">
        <v>0</v>
      </c>
      <c r="F19" s="42" t="str">
        <f t="shared" ref="F19:F67" si="1">IF(OR(C19="",D19=""),NA(),IF(AND(C19&gt;=$C$5,D19&gt;=$D$5),"TOP RIGHT",IF(AND(C19&gt;$C$5,D19&lt;$D$5),"BOTTOM RIGHT",IF(AND(C19&lt;$C$5,D19&gt;$D$5),"TOP LEFT",IF(AND(C19&lt;=$C$5,D19&lt;=$D$5),"BOTTOM LEFT",NA())))))</f>
        <v>BOTTOM RIGHT</v>
      </c>
      <c r="H19" s="42" t="e">
        <f t="shared" ref="H19:I67" si="2">IF($F19="TOP RIGHT",C19,NA())</f>
        <v>#N/A</v>
      </c>
      <c r="I19" s="42" t="e">
        <f t="shared" si="2"/>
        <v>#N/A</v>
      </c>
      <c r="K19" s="42">
        <f t="shared" ref="K19:L67" si="3">IF($F19="BOTTOM RIGHT",C19,NA())</f>
        <v>5</v>
      </c>
      <c r="L19" s="42">
        <f t="shared" si="3"/>
        <v>0</v>
      </c>
      <c r="N19" s="42" t="e">
        <f t="shared" ref="N19:O67" si="4">IF($F19="TOP LEFT",C19,NA())</f>
        <v>#N/A</v>
      </c>
      <c r="O19" s="42" t="e">
        <f t="shared" si="4"/>
        <v>#N/A</v>
      </c>
      <c r="Q19" s="42" t="e">
        <f t="shared" ref="Q19:R67" si="5">IF($F19="BOTTOM LEFT",C19,NA())</f>
        <v>#N/A</v>
      </c>
      <c r="R19" s="42" t="e">
        <f t="shared" si="5"/>
        <v>#N/A</v>
      </c>
      <c r="T19" s="42">
        <f t="shared" si="0"/>
        <v>195</v>
      </c>
      <c r="U19" s="42">
        <f>RANK(T19,$T$18:$T$67,1)+COUNTIF(T19:$T$67,T19)-1</f>
        <v>31</v>
      </c>
      <c r="AI19" s="45">
        <v>2</v>
      </c>
      <c r="AJ19" s="45" t="str">
        <f t="shared" ref="AJ19:AJ67" si="6">INDEX($B$18:$B$67,MATCH(AI19,$U$18:$U$67,0))</f>
        <v>#28</v>
      </c>
      <c r="AL19" s="40" t="str">
        <f t="shared" ref="AL19:AL67" si="7">INDEX($F$18:$F$67,MATCH(AJ19,$B$18:$B$67,0))</f>
        <v>TOP RIGHT</v>
      </c>
    </row>
    <row r="20" spans="2:38" x14ac:dyDescent="0.25">
      <c r="B20" s="45" t="s">
        <v>179</v>
      </c>
      <c r="C20" s="40">
        <v>4</v>
      </c>
      <c r="D20" s="40">
        <v>1</v>
      </c>
      <c r="F20" s="42" t="str">
        <f t="shared" si="1"/>
        <v>BOTTOM LEFT</v>
      </c>
      <c r="H20" s="42" t="e">
        <f t="shared" si="2"/>
        <v>#N/A</v>
      </c>
      <c r="I20" s="42" t="e">
        <f t="shared" si="2"/>
        <v>#N/A</v>
      </c>
      <c r="K20" s="42" t="e">
        <f t="shared" si="3"/>
        <v>#N/A</v>
      </c>
      <c r="L20" s="42" t="e">
        <f t="shared" si="3"/>
        <v>#N/A</v>
      </c>
      <c r="N20" s="42" t="e">
        <f t="shared" si="4"/>
        <v>#N/A</v>
      </c>
      <c r="O20" s="42" t="e">
        <f t="shared" si="4"/>
        <v>#N/A</v>
      </c>
      <c r="Q20" s="42">
        <f t="shared" si="5"/>
        <v>4</v>
      </c>
      <c r="R20" s="42">
        <f t="shared" si="5"/>
        <v>1</v>
      </c>
      <c r="T20" s="42">
        <f t="shared" si="0"/>
        <v>395</v>
      </c>
      <c r="U20" s="42">
        <f>RANK(T20,$T$18:$T$67,1)+COUNTIF(T20:$T$67,T20)-1</f>
        <v>41</v>
      </c>
      <c r="AI20" s="45">
        <v>3</v>
      </c>
      <c r="AJ20" s="45" t="str">
        <f t="shared" si="6"/>
        <v>#14</v>
      </c>
      <c r="AL20" s="40" t="str">
        <f t="shared" si="7"/>
        <v>TOP RIGHT</v>
      </c>
    </row>
    <row r="21" spans="2:38" x14ac:dyDescent="0.25">
      <c r="B21" s="45" t="s">
        <v>180</v>
      </c>
      <c r="C21" s="40">
        <v>2</v>
      </c>
      <c r="D21" s="40">
        <v>2</v>
      </c>
      <c r="F21" s="42" t="str">
        <f t="shared" si="1"/>
        <v>BOTTOM LEFT</v>
      </c>
      <c r="H21" s="42" t="e">
        <f t="shared" si="2"/>
        <v>#N/A</v>
      </c>
      <c r="I21" s="42" t="e">
        <f t="shared" si="2"/>
        <v>#N/A</v>
      </c>
      <c r="K21" s="42" t="e">
        <f t="shared" si="3"/>
        <v>#N/A</v>
      </c>
      <c r="L21" s="42" t="e">
        <f t="shared" si="3"/>
        <v>#N/A</v>
      </c>
      <c r="N21" s="42" t="e">
        <f t="shared" si="4"/>
        <v>#N/A</v>
      </c>
      <c r="O21" s="42" t="e">
        <f t="shared" si="4"/>
        <v>#N/A</v>
      </c>
      <c r="Q21" s="42">
        <f t="shared" si="5"/>
        <v>2</v>
      </c>
      <c r="R21" s="42">
        <f t="shared" si="5"/>
        <v>2</v>
      </c>
      <c r="T21" s="42">
        <f t="shared" si="0"/>
        <v>396</v>
      </c>
      <c r="U21" s="42">
        <f>RANK(T21,$T$18:$T$67,1)+COUNTIF(T21:$T$67,T21)-1</f>
        <v>46</v>
      </c>
      <c r="AI21" s="45">
        <v>4</v>
      </c>
      <c r="AJ21" s="45" t="str">
        <f t="shared" si="6"/>
        <v>#25</v>
      </c>
      <c r="AL21" s="40" t="str">
        <f t="shared" si="7"/>
        <v>TOP RIGHT</v>
      </c>
    </row>
    <row r="22" spans="2:38" x14ac:dyDescent="0.25">
      <c r="B22" s="45" t="s">
        <v>181</v>
      </c>
      <c r="C22" s="40">
        <v>5</v>
      </c>
      <c r="D22" s="40">
        <v>4</v>
      </c>
      <c r="F22" s="42" t="str">
        <f t="shared" si="1"/>
        <v>TOP RIGHT</v>
      </c>
      <c r="H22" s="42">
        <f t="shared" si="2"/>
        <v>5</v>
      </c>
      <c r="I22" s="42">
        <f t="shared" si="2"/>
        <v>4</v>
      </c>
      <c r="K22" s="42" t="e">
        <f t="shared" si="3"/>
        <v>#N/A</v>
      </c>
      <c r="L22" s="42" t="e">
        <f t="shared" si="3"/>
        <v>#N/A</v>
      </c>
      <c r="N22" s="42" t="e">
        <f t="shared" si="4"/>
        <v>#N/A</v>
      </c>
      <c r="O22" s="42" t="e">
        <f t="shared" si="4"/>
        <v>#N/A</v>
      </c>
      <c r="Q22" s="42" t="e">
        <f t="shared" si="5"/>
        <v>#N/A</v>
      </c>
      <c r="R22" s="42" t="e">
        <f t="shared" si="5"/>
        <v>#N/A</v>
      </c>
      <c r="T22" s="42">
        <f t="shared" si="0"/>
        <v>91</v>
      </c>
      <c r="U22" s="42">
        <f>RANK(T22,$T$18:$T$67,1)+COUNTIF(T22:$T$67,T22)-1</f>
        <v>10</v>
      </c>
      <c r="AI22" s="45">
        <v>5</v>
      </c>
      <c r="AJ22" s="45" t="str">
        <f t="shared" si="6"/>
        <v>#30</v>
      </c>
      <c r="AL22" s="40" t="str">
        <f t="shared" si="7"/>
        <v>TOP RIGHT</v>
      </c>
    </row>
    <row r="23" spans="2:38" x14ac:dyDescent="0.25">
      <c r="B23" s="45" t="s">
        <v>182</v>
      </c>
      <c r="C23" s="40">
        <v>2</v>
      </c>
      <c r="D23" s="40">
        <v>6</v>
      </c>
      <c r="F23" s="42" t="str">
        <f t="shared" si="1"/>
        <v>TOP LEFT</v>
      </c>
      <c r="H23" s="42" t="e">
        <f t="shared" si="2"/>
        <v>#N/A</v>
      </c>
      <c r="I23" s="42" t="e">
        <f t="shared" si="2"/>
        <v>#N/A</v>
      </c>
      <c r="K23" s="42" t="e">
        <f t="shared" si="3"/>
        <v>#N/A</v>
      </c>
      <c r="L23" s="42" t="e">
        <f t="shared" si="3"/>
        <v>#N/A</v>
      </c>
      <c r="N23" s="42">
        <f t="shared" si="4"/>
        <v>2</v>
      </c>
      <c r="O23" s="42">
        <f t="shared" si="4"/>
        <v>6</v>
      </c>
      <c r="Q23" s="42" t="e">
        <f t="shared" si="5"/>
        <v>#N/A</v>
      </c>
      <c r="R23" s="42" t="e">
        <f t="shared" si="5"/>
        <v>#N/A</v>
      </c>
      <c r="T23" s="42">
        <f t="shared" si="0"/>
        <v>292</v>
      </c>
      <c r="U23" s="42">
        <f>RANK(T23,$T$18:$T$67,1)+COUNTIF(T23:$T$67,T23)-1</f>
        <v>33</v>
      </c>
      <c r="AI23" s="45">
        <v>6</v>
      </c>
      <c r="AJ23" s="45" t="str">
        <f t="shared" si="6"/>
        <v>#22</v>
      </c>
      <c r="AL23" s="40" t="str">
        <f t="shared" si="7"/>
        <v>TOP RIGHT</v>
      </c>
    </row>
    <row r="24" spans="2:38" x14ac:dyDescent="0.25">
      <c r="B24" s="45" t="s">
        <v>183</v>
      </c>
      <c r="C24" s="40">
        <v>7</v>
      </c>
      <c r="D24" s="40">
        <v>4</v>
      </c>
      <c r="F24" s="42" t="str">
        <f t="shared" si="1"/>
        <v>TOP RIGHT</v>
      </c>
      <c r="H24" s="42">
        <f t="shared" si="2"/>
        <v>7</v>
      </c>
      <c r="I24" s="42">
        <f t="shared" si="2"/>
        <v>4</v>
      </c>
      <c r="K24" s="42" t="e">
        <f t="shared" si="3"/>
        <v>#N/A</v>
      </c>
      <c r="L24" s="42" t="e">
        <f t="shared" si="3"/>
        <v>#N/A</v>
      </c>
      <c r="N24" s="42" t="e">
        <f t="shared" si="4"/>
        <v>#N/A</v>
      </c>
      <c r="O24" s="42" t="e">
        <f t="shared" si="4"/>
        <v>#N/A</v>
      </c>
      <c r="Q24" s="42" t="e">
        <f t="shared" si="5"/>
        <v>#N/A</v>
      </c>
      <c r="R24" s="42" t="e">
        <f t="shared" si="5"/>
        <v>#N/A</v>
      </c>
      <c r="T24" s="42">
        <f t="shared" si="0"/>
        <v>89</v>
      </c>
      <c r="U24" s="42">
        <f>RANK(T24,$T$18:$T$67,1)+COUNTIF(T24:$T$67,T24)-1</f>
        <v>7</v>
      </c>
      <c r="AI24" s="45">
        <v>7</v>
      </c>
      <c r="AJ24" s="45" t="str">
        <f t="shared" si="6"/>
        <v>#7</v>
      </c>
      <c r="AL24" s="40" t="str">
        <f t="shared" si="7"/>
        <v>TOP RIGHT</v>
      </c>
    </row>
    <row r="25" spans="2:38" x14ac:dyDescent="0.25">
      <c r="B25" s="45" t="s">
        <v>184</v>
      </c>
      <c r="C25" s="40">
        <v>8</v>
      </c>
      <c r="D25" s="40">
        <v>1</v>
      </c>
      <c r="F25" s="42" t="str">
        <f t="shared" si="1"/>
        <v>BOTTOM RIGHT</v>
      </c>
      <c r="H25" s="42" t="e">
        <f t="shared" si="2"/>
        <v>#N/A</v>
      </c>
      <c r="I25" s="42" t="e">
        <f t="shared" si="2"/>
        <v>#N/A</v>
      </c>
      <c r="K25" s="42">
        <f t="shared" si="3"/>
        <v>8</v>
      </c>
      <c r="L25" s="42">
        <f t="shared" si="3"/>
        <v>1</v>
      </c>
      <c r="N25" s="42" t="e">
        <f t="shared" si="4"/>
        <v>#N/A</v>
      </c>
      <c r="O25" s="42" t="e">
        <f t="shared" si="4"/>
        <v>#N/A</v>
      </c>
      <c r="Q25" s="42" t="e">
        <f t="shared" si="5"/>
        <v>#N/A</v>
      </c>
      <c r="R25" s="42" t="e">
        <f t="shared" si="5"/>
        <v>#N/A</v>
      </c>
      <c r="T25" s="42">
        <f t="shared" si="0"/>
        <v>191</v>
      </c>
      <c r="U25" s="42">
        <f>RANK(T25,$T$18:$T$67,1)+COUNTIF(T25:$T$67,T25)-1</f>
        <v>17</v>
      </c>
      <c r="AI25" s="45">
        <v>8</v>
      </c>
      <c r="AJ25" s="45" t="str">
        <f t="shared" si="6"/>
        <v>#20</v>
      </c>
      <c r="AL25" s="40" t="str">
        <f t="shared" si="7"/>
        <v>TOP RIGHT</v>
      </c>
    </row>
    <row r="26" spans="2:38" x14ac:dyDescent="0.25">
      <c r="B26" s="45" t="s">
        <v>185</v>
      </c>
      <c r="C26" s="40">
        <v>6</v>
      </c>
      <c r="D26" s="40">
        <v>4</v>
      </c>
      <c r="F26" s="42" t="str">
        <f t="shared" si="1"/>
        <v>TOP RIGHT</v>
      </c>
      <c r="H26" s="42">
        <f t="shared" si="2"/>
        <v>6</v>
      </c>
      <c r="I26" s="42">
        <f t="shared" si="2"/>
        <v>4</v>
      </c>
      <c r="K26" s="42" t="e">
        <f t="shared" si="3"/>
        <v>#N/A</v>
      </c>
      <c r="L26" s="42" t="e">
        <f t="shared" si="3"/>
        <v>#N/A</v>
      </c>
      <c r="N26" s="42" t="e">
        <f t="shared" si="4"/>
        <v>#N/A</v>
      </c>
      <c r="O26" s="42" t="e">
        <f t="shared" si="4"/>
        <v>#N/A</v>
      </c>
      <c r="Q26" s="42" t="e">
        <f t="shared" si="5"/>
        <v>#N/A</v>
      </c>
      <c r="R26" s="42" t="e">
        <f t="shared" si="5"/>
        <v>#N/A</v>
      </c>
      <c r="T26" s="42">
        <f t="shared" si="0"/>
        <v>90</v>
      </c>
      <c r="U26" s="42">
        <f>RANK(T26,$T$18:$T$67,1)+COUNTIF(T26:$T$67,T26)-1</f>
        <v>9</v>
      </c>
      <c r="AI26" s="45">
        <v>9</v>
      </c>
      <c r="AJ26" s="45" t="str">
        <f t="shared" si="6"/>
        <v>#9</v>
      </c>
      <c r="AL26" s="40" t="str">
        <f t="shared" si="7"/>
        <v>TOP RIGHT</v>
      </c>
    </row>
    <row r="27" spans="2:38" x14ac:dyDescent="0.25">
      <c r="B27" s="45" t="s">
        <v>186</v>
      </c>
      <c r="C27" s="40">
        <v>4</v>
      </c>
      <c r="D27" s="40">
        <v>3</v>
      </c>
      <c r="F27" s="42" t="str">
        <f t="shared" si="1"/>
        <v>TOP RIGHT</v>
      </c>
      <c r="H27" s="42">
        <f t="shared" si="2"/>
        <v>4</v>
      </c>
      <c r="I27" s="42">
        <f t="shared" si="2"/>
        <v>3</v>
      </c>
      <c r="K27" s="42" t="e">
        <f t="shared" si="3"/>
        <v>#N/A</v>
      </c>
      <c r="L27" s="42" t="e">
        <f t="shared" si="3"/>
        <v>#N/A</v>
      </c>
      <c r="N27" s="42" t="e">
        <f t="shared" si="4"/>
        <v>#N/A</v>
      </c>
      <c r="O27" s="42" t="e">
        <f t="shared" si="4"/>
        <v>#N/A</v>
      </c>
      <c r="Q27" s="42" t="e">
        <f t="shared" si="5"/>
        <v>#N/A</v>
      </c>
      <c r="R27" s="42" t="e">
        <f t="shared" si="5"/>
        <v>#N/A</v>
      </c>
      <c r="T27" s="42">
        <f t="shared" si="0"/>
        <v>93</v>
      </c>
      <c r="U27" s="42">
        <f>RANK(T27,$T$18:$T$67,1)+COUNTIF(T27:$T$67,T27)-1</f>
        <v>13</v>
      </c>
      <c r="AI27" s="45">
        <v>10</v>
      </c>
      <c r="AJ27" s="45" t="str">
        <f t="shared" si="6"/>
        <v>#5</v>
      </c>
      <c r="AL27" s="40" t="str">
        <f t="shared" si="7"/>
        <v>TOP RIGHT</v>
      </c>
    </row>
    <row r="28" spans="2:38" x14ac:dyDescent="0.25">
      <c r="B28" s="45" t="s">
        <v>187</v>
      </c>
      <c r="C28" s="40">
        <v>1</v>
      </c>
      <c r="D28" s="40">
        <v>1</v>
      </c>
      <c r="F28" s="42" t="str">
        <f t="shared" si="1"/>
        <v>BOTTOM LEFT</v>
      </c>
      <c r="H28" s="42" t="e">
        <f t="shared" si="2"/>
        <v>#N/A</v>
      </c>
      <c r="I28" s="42" t="e">
        <f t="shared" si="2"/>
        <v>#N/A</v>
      </c>
      <c r="K28" s="42" t="e">
        <f t="shared" si="3"/>
        <v>#N/A</v>
      </c>
      <c r="L28" s="42" t="e">
        <f t="shared" si="3"/>
        <v>#N/A</v>
      </c>
      <c r="N28" s="42" t="e">
        <f t="shared" si="4"/>
        <v>#N/A</v>
      </c>
      <c r="O28" s="42" t="e">
        <f t="shared" si="4"/>
        <v>#N/A</v>
      </c>
      <c r="Q28" s="42">
        <f t="shared" si="5"/>
        <v>1</v>
      </c>
      <c r="R28" s="42">
        <f t="shared" si="5"/>
        <v>1</v>
      </c>
      <c r="T28" s="42">
        <f t="shared" si="0"/>
        <v>398</v>
      </c>
      <c r="U28" s="42">
        <f>RANK(T28,$T$18:$T$67,1)+COUNTIF(T28:$T$67,T28)-1</f>
        <v>49</v>
      </c>
      <c r="AI28" s="45">
        <v>11</v>
      </c>
      <c r="AJ28" s="45" t="str">
        <f t="shared" si="6"/>
        <v>#50</v>
      </c>
      <c r="AL28" s="40" t="str">
        <f t="shared" si="7"/>
        <v>TOP RIGHT</v>
      </c>
    </row>
    <row r="29" spans="2:38" x14ac:dyDescent="0.25">
      <c r="B29" s="45" t="s">
        <v>188</v>
      </c>
      <c r="C29" s="40">
        <v>2</v>
      </c>
      <c r="D29" s="40">
        <v>5</v>
      </c>
      <c r="F29" s="42" t="str">
        <f t="shared" si="1"/>
        <v>TOP LEFT</v>
      </c>
      <c r="H29" s="42" t="e">
        <f t="shared" si="2"/>
        <v>#N/A</v>
      </c>
      <c r="I29" s="42" t="e">
        <f t="shared" si="2"/>
        <v>#N/A</v>
      </c>
      <c r="K29" s="42" t="e">
        <f t="shared" si="3"/>
        <v>#N/A</v>
      </c>
      <c r="L29" s="42" t="e">
        <f t="shared" si="3"/>
        <v>#N/A</v>
      </c>
      <c r="N29" s="42">
        <f t="shared" si="4"/>
        <v>2</v>
      </c>
      <c r="O29" s="42">
        <f t="shared" si="4"/>
        <v>5</v>
      </c>
      <c r="Q29" s="42" t="e">
        <f t="shared" si="5"/>
        <v>#N/A</v>
      </c>
      <c r="R29" s="42" t="e">
        <f t="shared" si="5"/>
        <v>#N/A</v>
      </c>
      <c r="T29" s="42">
        <f t="shared" si="0"/>
        <v>293</v>
      </c>
      <c r="U29" s="42">
        <f>RANK(T29,$T$18:$T$67,1)+COUNTIF(T29:$T$67,T29)-1</f>
        <v>35</v>
      </c>
      <c r="AI29" s="45">
        <v>12</v>
      </c>
      <c r="AJ29" s="45" t="str">
        <f t="shared" si="6"/>
        <v>#26</v>
      </c>
      <c r="AL29" s="40" t="str">
        <f t="shared" si="7"/>
        <v>TOP RIGHT</v>
      </c>
    </row>
    <row r="30" spans="2:38" x14ac:dyDescent="0.25">
      <c r="B30" s="45" t="s">
        <v>189</v>
      </c>
      <c r="C30" s="40">
        <v>1</v>
      </c>
      <c r="D30" s="40">
        <v>1</v>
      </c>
      <c r="F30" s="42" t="str">
        <f t="shared" si="1"/>
        <v>BOTTOM LEFT</v>
      </c>
      <c r="H30" s="42" t="e">
        <f t="shared" si="2"/>
        <v>#N/A</v>
      </c>
      <c r="I30" s="42" t="e">
        <f t="shared" si="2"/>
        <v>#N/A</v>
      </c>
      <c r="K30" s="42" t="e">
        <f t="shared" si="3"/>
        <v>#N/A</v>
      </c>
      <c r="L30" s="42" t="e">
        <f t="shared" si="3"/>
        <v>#N/A</v>
      </c>
      <c r="N30" s="42" t="e">
        <f t="shared" si="4"/>
        <v>#N/A</v>
      </c>
      <c r="O30" s="42" t="e">
        <f t="shared" si="4"/>
        <v>#N/A</v>
      </c>
      <c r="Q30" s="42">
        <f t="shared" si="5"/>
        <v>1</v>
      </c>
      <c r="R30" s="42">
        <f t="shared" si="5"/>
        <v>1</v>
      </c>
      <c r="T30" s="42">
        <f t="shared" si="0"/>
        <v>398</v>
      </c>
      <c r="U30" s="42">
        <f>RANK(T30,$T$18:$T$67,1)+COUNTIF(T30:$T$67,T30)-1</f>
        <v>48</v>
      </c>
      <c r="AI30" s="45">
        <v>13</v>
      </c>
      <c r="AJ30" s="45" t="str">
        <f t="shared" si="6"/>
        <v>#10</v>
      </c>
      <c r="AL30" s="40" t="str">
        <f t="shared" si="7"/>
        <v>TOP RIGHT</v>
      </c>
    </row>
    <row r="31" spans="2:38" x14ac:dyDescent="0.25">
      <c r="B31" s="45" t="s">
        <v>190</v>
      </c>
      <c r="C31" s="40">
        <v>7</v>
      </c>
      <c r="D31" s="40">
        <v>6</v>
      </c>
      <c r="F31" s="42" t="str">
        <f t="shared" si="1"/>
        <v>TOP RIGHT</v>
      </c>
      <c r="H31" s="42">
        <f t="shared" si="2"/>
        <v>7</v>
      </c>
      <c r="I31" s="42">
        <f t="shared" si="2"/>
        <v>6</v>
      </c>
      <c r="K31" s="42" t="e">
        <f t="shared" si="3"/>
        <v>#N/A</v>
      </c>
      <c r="L31" s="42" t="e">
        <f t="shared" si="3"/>
        <v>#N/A</v>
      </c>
      <c r="N31" s="42" t="e">
        <f t="shared" si="4"/>
        <v>#N/A</v>
      </c>
      <c r="O31" s="42" t="e">
        <f t="shared" si="4"/>
        <v>#N/A</v>
      </c>
      <c r="Q31" s="42" t="e">
        <f t="shared" si="5"/>
        <v>#N/A</v>
      </c>
      <c r="R31" s="42" t="e">
        <f t="shared" si="5"/>
        <v>#N/A</v>
      </c>
      <c r="T31" s="42">
        <f t="shared" si="0"/>
        <v>87</v>
      </c>
      <c r="U31" s="42">
        <f>RANK(T31,$T$18:$T$67,1)+COUNTIF(T31:$T$67,T31)-1</f>
        <v>3</v>
      </c>
      <c r="AI31" s="45">
        <v>14</v>
      </c>
      <c r="AJ31" s="45" t="str">
        <f t="shared" si="6"/>
        <v>#49</v>
      </c>
      <c r="AL31" s="40" t="str">
        <f t="shared" si="7"/>
        <v>BOTTOM RIGHT</v>
      </c>
    </row>
    <row r="32" spans="2:38" x14ac:dyDescent="0.25">
      <c r="B32" s="45" t="s">
        <v>191</v>
      </c>
      <c r="C32" s="40">
        <v>4</v>
      </c>
      <c r="D32" s="40">
        <v>0</v>
      </c>
      <c r="F32" s="42" t="str">
        <f t="shared" si="1"/>
        <v>BOTTOM LEFT</v>
      </c>
      <c r="H32" s="42" t="e">
        <f t="shared" si="2"/>
        <v>#N/A</v>
      </c>
      <c r="I32" s="42" t="e">
        <f t="shared" si="2"/>
        <v>#N/A</v>
      </c>
      <c r="K32" s="42" t="e">
        <f t="shared" si="3"/>
        <v>#N/A</v>
      </c>
      <c r="L32" s="42" t="e">
        <f t="shared" si="3"/>
        <v>#N/A</v>
      </c>
      <c r="N32" s="42" t="e">
        <f t="shared" si="4"/>
        <v>#N/A</v>
      </c>
      <c r="O32" s="42" t="e">
        <f t="shared" si="4"/>
        <v>#N/A</v>
      </c>
      <c r="Q32" s="42">
        <f t="shared" si="5"/>
        <v>4</v>
      </c>
      <c r="R32" s="42">
        <f t="shared" si="5"/>
        <v>0</v>
      </c>
      <c r="T32" s="42">
        <f t="shared" si="0"/>
        <v>396</v>
      </c>
      <c r="U32" s="42">
        <f>RANK(T32,$T$18:$T$67,1)+COUNTIF(T32:$T$67,T32)-1</f>
        <v>45</v>
      </c>
      <c r="AI32" s="45">
        <v>15</v>
      </c>
      <c r="AJ32" s="45" t="str">
        <f t="shared" si="6"/>
        <v>#19</v>
      </c>
      <c r="AL32" s="40" t="str">
        <f t="shared" si="7"/>
        <v>BOTTOM RIGHT</v>
      </c>
    </row>
    <row r="33" spans="2:38" x14ac:dyDescent="0.25">
      <c r="B33" s="45" t="s">
        <v>192</v>
      </c>
      <c r="C33" s="40">
        <v>5</v>
      </c>
      <c r="D33" s="40">
        <v>1</v>
      </c>
      <c r="F33" s="42" t="str">
        <f t="shared" si="1"/>
        <v>BOTTOM RIGHT</v>
      </c>
      <c r="H33" s="42" t="e">
        <f t="shared" si="2"/>
        <v>#N/A</v>
      </c>
      <c r="I33" s="42" t="e">
        <f t="shared" si="2"/>
        <v>#N/A</v>
      </c>
      <c r="K33" s="42">
        <f t="shared" si="3"/>
        <v>5</v>
      </c>
      <c r="L33" s="42">
        <f t="shared" si="3"/>
        <v>1</v>
      </c>
      <c r="N33" s="42" t="e">
        <f t="shared" si="4"/>
        <v>#N/A</v>
      </c>
      <c r="O33" s="42" t="e">
        <f t="shared" si="4"/>
        <v>#N/A</v>
      </c>
      <c r="Q33" s="42" t="e">
        <f t="shared" si="5"/>
        <v>#N/A</v>
      </c>
      <c r="R33" s="42" t="e">
        <f t="shared" si="5"/>
        <v>#N/A</v>
      </c>
      <c r="T33" s="42">
        <f t="shared" si="0"/>
        <v>194</v>
      </c>
      <c r="U33" s="42">
        <f>RANK(T33,$T$18:$T$67,1)+COUNTIF(T33:$T$67,T33)-1</f>
        <v>30</v>
      </c>
      <c r="AI33" s="45">
        <v>16</v>
      </c>
      <c r="AJ33" s="45" t="str">
        <f t="shared" si="6"/>
        <v>#39</v>
      </c>
      <c r="AL33" s="40" t="str">
        <f t="shared" si="7"/>
        <v>BOTTOM RIGHT</v>
      </c>
    </row>
    <row r="34" spans="2:38" x14ac:dyDescent="0.25">
      <c r="B34" s="45" t="s">
        <v>193</v>
      </c>
      <c r="C34" s="40">
        <v>2</v>
      </c>
      <c r="D34" s="40">
        <v>4</v>
      </c>
      <c r="F34" s="42" t="str">
        <f t="shared" si="1"/>
        <v>TOP LEFT</v>
      </c>
      <c r="H34" s="42" t="e">
        <f t="shared" si="2"/>
        <v>#N/A</v>
      </c>
      <c r="I34" s="42" t="e">
        <f t="shared" si="2"/>
        <v>#N/A</v>
      </c>
      <c r="K34" s="42" t="e">
        <f t="shared" si="3"/>
        <v>#N/A</v>
      </c>
      <c r="L34" s="42" t="e">
        <f t="shared" si="3"/>
        <v>#N/A</v>
      </c>
      <c r="N34" s="42">
        <f t="shared" si="4"/>
        <v>2</v>
      </c>
      <c r="O34" s="42">
        <f t="shared" si="4"/>
        <v>4</v>
      </c>
      <c r="Q34" s="42" t="e">
        <f t="shared" si="5"/>
        <v>#N/A</v>
      </c>
      <c r="R34" s="42" t="e">
        <f t="shared" si="5"/>
        <v>#N/A</v>
      </c>
      <c r="T34" s="42">
        <f t="shared" si="0"/>
        <v>294</v>
      </c>
      <c r="U34" s="42">
        <f>RANK(T34,$T$18:$T$67,1)+COUNTIF(T34:$T$67,T34)-1</f>
        <v>38</v>
      </c>
      <c r="AI34" s="45">
        <v>17</v>
      </c>
      <c r="AJ34" s="45" t="str">
        <f t="shared" si="6"/>
        <v>#8</v>
      </c>
      <c r="AL34" s="40" t="str">
        <f t="shared" si="7"/>
        <v>BOTTOM RIGHT</v>
      </c>
    </row>
    <row r="35" spans="2:38" x14ac:dyDescent="0.25">
      <c r="B35" s="45" t="s">
        <v>194</v>
      </c>
      <c r="C35" s="40">
        <v>1</v>
      </c>
      <c r="D35" s="40">
        <v>3</v>
      </c>
      <c r="F35" s="42" t="str">
        <f t="shared" si="1"/>
        <v>BOTTOM LEFT</v>
      </c>
      <c r="H35" s="42" t="e">
        <f t="shared" si="2"/>
        <v>#N/A</v>
      </c>
      <c r="I35" s="42" t="e">
        <f t="shared" si="2"/>
        <v>#N/A</v>
      </c>
      <c r="K35" s="42" t="e">
        <f t="shared" si="3"/>
        <v>#N/A</v>
      </c>
      <c r="L35" s="42" t="e">
        <f t="shared" si="3"/>
        <v>#N/A</v>
      </c>
      <c r="N35" s="42" t="e">
        <f t="shared" si="4"/>
        <v>#N/A</v>
      </c>
      <c r="O35" s="42" t="e">
        <f t="shared" si="4"/>
        <v>#N/A</v>
      </c>
      <c r="Q35" s="42">
        <f t="shared" si="5"/>
        <v>1</v>
      </c>
      <c r="R35" s="42">
        <f t="shared" si="5"/>
        <v>3</v>
      </c>
      <c r="T35" s="42">
        <f t="shared" si="0"/>
        <v>396</v>
      </c>
      <c r="U35" s="42">
        <f>RANK(T35,$T$18:$T$67,1)+COUNTIF(T35:$T$67,T35)-1</f>
        <v>44</v>
      </c>
      <c r="AI35" s="45">
        <v>18</v>
      </c>
      <c r="AJ35" s="45" t="str">
        <f t="shared" si="6"/>
        <v>#47</v>
      </c>
      <c r="AL35" s="40" t="str">
        <f t="shared" si="7"/>
        <v>BOTTOM RIGHT</v>
      </c>
    </row>
    <row r="36" spans="2:38" x14ac:dyDescent="0.25">
      <c r="B36" s="45" t="s">
        <v>195</v>
      </c>
      <c r="C36" s="40">
        <v>8</v>
      </c>
      <c r="D36" s="40">
        <v>2</v>
      </c>
      <c r="F36" s="42" t="str">
        <f t="shared" si="1"/>
        <v>BOTTOM RIGHT</v>
      </c>
      <c r="H36" s="42" t="e">
        <f t="shared" si="2"/>
        <v>#N/A</v>
      </c>
      <c r="I36" s="42" t="e">
        <f t="shared" si="2"/>
        <v>#N/A</v>
      </c>
      <c r="K36" s="42">
        <f t="shared" si="3"/>
        <v>8</v>
      </c>
      <c r="L36" s="42">
        <f t="shared" si="3"/>
        <v>2</v>
      </c>
      <c r="N36" s="42" t="e">
        <f t="shared" si="4"/>
        <v>#N/A</v>
      </c>
      <c r="O36" s="42" t="e">
        <f t="shared" si="4"/>
        <v>#N/A</v>
      </c>
      <c r="Q36" s="42" t="e">
        <f t="shared" si="5"/>
        <v>#N/A</v>
      </c>
      <c r="R36" s="42" t="e">
        <f t="shared" si="5"/>
        <v>#N/A</v>
      </c>
      <c r="T36" s="42">
        <f t="shared" si="0"/>
        <v>190</v>
      </c>
      <c r="U36" s="42">
        <f>RANK(T36,$T$18:$T$67,1)+COUNTIF(T36:$T$67,T36)-1</f>
        <v>15</v>
      </c>
      <c r="AI36" s="45">
        <v>19</v>
      </c>
      <c r="AJ36" s="45" t="str">
        <f t="shared" si="6"/>
        <v>#40</v>
      </c>
      <c r="AL36" s="40" t="str">
        <f t="shared" si="7"/>
        <v>BOTTOM RIGHT</v>
      </c>
    </row>
    <row r="37" spans="2:38" x14ac:dyDescent="0.25">
      <c r="B37" s="45" t="s">
        <v>196</v>
      </c>
      <c r="C37" s="40">
        <v>6</v>
      </c>
      <c r="D37" s="40">
        <v>4</v>
      </c>
      <c r="F37" s="42" t="str">
        <f t="shared" si="1"/>
        <v>TOP RIGHT</v>
      </c>
      <c r="H37" s="42">
        <f t="shared" si="2"/>
        <v>6</v>
      </c>
      <c r="I37" s="42">
        <f t="shared" si="2"/>
        <v>4</v>
      </c>
      <c r="K37" s="42" t="e">
        <f t="shared" si="3"/>
        <v>#N/A</v>
      </c>
      <c r="L37" s="42" t="e">
        <f t="shared" si="3"/>
        <v>#N/A</v>
      </c>
      <c r="N37" s="42" t="e">
        <f t="shared" si="4"/>
        <v>#N/A</v>
      </c>
      <c r="O37" s="42" t="e">
        <f t="shared" si="4"/>
        <v>#N/A</v>
      </c>
      <c r="Q37" s="42" t="e">
        <f t="shared" si="5"/>
        <v>#N/A</v>
      </c>
      <c r="R37" s="42" t="e">
        <f t="shared" si="5"/>
        <v>#N/A</v>
      </c>
      <c r="T37" s="42">
        <f t="shared" si="0"/>
        <v>90</v>
      </c>
      <c r="U37" s="42">
        <f>RANK(T37,$T$18:$T$67,1)+COUNTIF(T37:$T$67,T37)-1</f>
        <v>8</v>
      </c>
      <c r="AI37" s="45">
        <v>20</v>
      </c>
      <c r="AJ37" s="45" t="str">
        <f t="shared" si="6"/>
        <v>#35</v>
      </c>
      <c r="AL37" s="40" t="str">
        <f t="shared" si="7"/>
        <v>BOTTOM RIGHT</v>
      </c>
    </row>
    <row r="38" spans="2:38" x14ac:dyDescent="0.25">
      <c r="B38" s="45" t="s">
        <v>197</v>
      </c>
      <c r="C38" s="40">
        <v>7</v>
      </c>
      <c r="D38" s="40">
        <v>0</v>
      </c>
      <c r="F38" s="42" t="str">
        <f t="shared" si="1"/>
        <v>BOTTOM RIGHT</v>
      </c>
      <c r="H38" s="42" t="e">
        <f t="shared" si="2"/>
        <v>#N/A</v>
      </c>
      <c r="I38" s="42" t="e">
        <f t="shared" si="2"/>
        <v>#N/A</v>
      </c>
      <c r="K38" s="42">
        <f t="shared" si="3"/>
        <v>7</v>
      </c>
      <c r="L38" s="42">
        <f t="shared" si="3"/>
        <v>0</v>
      </c>
      <c r="N38" s="42" t="e">
        <f t="shared" si="4"/>
        <v>#N/A</v>
      </c>
      <c r="O38" s="42" t="e">
        <f t="shared" si="4"/>
        <v>#N/A</v>
      </c>
      <c r="Q38" s="42" t="e">
        <f t="shared" si="5"/>
        <v>#N/A</v>
      </c>
      <c r="R38" s="42" t="e">
        <f t="shared" si="5"/>
        <v>#N/A</v>
      </c>
      <c r="T38" s="42">
        <f t="shared" si="0"/>
        <v>193</v>
      </c>
      <c r="U38" s="42">
        <f>RANK(T38,$T$18:$T$67,1)+COUNTIF(T38:$T$67,T38)-1</f>
        <v>27</v>
      </c>
      <c r="AI38" s="45">
        <v>21</v>
      </c>
      <c r="AJ38" s="45" t="str">
        <f t="shared" si="6"/>
        <v>#24</v>
      </c>
      <c r="AL38" s="40" t="str">
        <f t="shared" si="7"/>
        <v>BOTTOM RIGHT</v>
      </c>
    </row>
    <row r="39" spans="2:38" x14ac:dyDescent="0.25">
      <c r="B39" s="45" t="s">
        <v>198</v>
      </c>
      <c r="C39" s="40">
        <v>8</v>
      </c>
      <c r="D39" s="40">
        <v>3</v>
      </c>
      <c r="F39" s="42" t="str">
        <f t="shared" si="1"/>
        <v>TOP RIGHT</v>
      </c>
      <c r="H39" s="42">
        <f t="shared" si="2"/>
        <v>8</v>
      </c>
      <c r="I39" s="42">
        <f t="shared" si="2"/>
        <v>3</v>
      </c>
      <c r="K39" s="42" t="e">
        <f t="shared" si="3"/>
        <v>#N/A</v>
      </c>
      <c r="L39" s="42" t="e">
        <f t="shared" si="3"/>
        <v>#N/A</v>
      </c>
      <c r="N39" s="42" t="e">
        <f t="shared" si="4"/>
        <v>#N/A</v>
      </c>
      <c r="O39" s="42" t="e">
        <f t="shared" si="4"/>
        <v>#N/A</v>
      </c>
      <c r="Q39" s="42" t="e">
        <f t="shared" si="5"/>
        <v>#N/A</v>
      </c>
      <c r="R39" s="42" t="e">
        <f t="shared" si="5"/>
        <v>#N/A</v>
      </c>
      <c r="T39" s="42">
        <f t="shared" si="0"/>
        <v>89</v>
      </c>
      <c r="U39" s="42">
        <f>RANK(T39,$T$18:$T$67,1)+COUNTIF(T39:$T$67,T39)-1</f>
        <v>6</v>
      </c>
      <c r="AI39" s="45">
        <v>22</v>
      </c>
      <c r="AJ39" s="45" t="str">
        <f t="shared" si="6"/>
        <v>#46</v>
      </c>
      <c r="AL39" s="40" t="str">
        <f t="shared" si="7"/>
        <v>BOTTOM RIGHT</v>
      </c>
    </row>
    <row r="40" spans="2:38" x14ac:dyDescent="0.25">
      <c r="B40" s="45" t="s">
        <v>199</v>
      </c>
      <c r="C40" s="40">
        <v>6</v>
      </c>
      <c r="D40" s="40">
        <v>1</v>
      </c>
      <c r="F40" s="42" t="str">
        <f t="shared" si="1"/>
        <v>BOTTOM RIGHT</v>
      </c>
      <c r="H40" s="42" t="e">
        <f t="shared" si="2"/>
        <v>#N/A</v>
      </c>
      <c r="I40" s="42" t="e">
        <f t="shared" si="2"/>
        <v>#N/A</v>
      </c>
      <c r="K40" s="42">
        <f t="shared" si="3"/>
        <v>6</v>
      </c>
      <c r="L40" s="42">
        <f t="shared" si="3"/>
        <v>1</v>
      </c>
      <c r="N40" s="42" t="e">
        <f t="shared" si="4"/>
        <v>#N/A</v>
      </c>
      <c r="O40" s="42" t="e">
        <f t="shared" si="4"/>
        <v>#N/A</v>
      </c>
      <c r="Q40" s="42" t="e">
        <f t="shared" si="5"/>
        <v>#N/A</v>
      </c>
      <c r="R40" s="42" t="e">
        <f t="shared" si="5"/>
        <v>#N/A</v>
      </c>
      <c r="T40" s="42">
        <f t="shared" si="0"/>
        <v>193</v>
      </c>
      <c r="U40" s="42">
        <f>RANK(T40,$T$18:$T$67,1)+COUNTIF(T40:$T$67,T40)-1</f>
        <v>26</v>
      </c>
      <c r="AI40" s="45">
        <v>23</v>
      </c>
      <c r="AJ40" s="45" t="str">
        <f t="shared" si="6"/>
        <v>#38</v>
      </c>
      <c r="AL40" s="40" t="str">
        <f t="shared" si="7"/>
        <v>BOTTOM RIGHT</v>
      </c>
    </row>
    <row r="41" spans="2:38" x14ac:dyDescent="0.25">
      <c r="B41" s="45" t="s">
        <v>200</v>
      </c>
      <c r="C41" s="40">
        <v>7</v>
      </c>
      <c r="D41" s="40">
        <v>1</v>
      </c>
      <c r="F41" s="42" t="str">
        <f t="shared" si="1"/>
        <v>BOTTOM RIGHT</v>
      </c>
      <c r="H41" s="42" t="e">
        <f t="shared" si="2"/>
        <v>#N/A</v>
      </c>
      <c r="I41" s="42" t="e">
        <f t="shared" si="2"/>
        <v>#N/A</v>
      </c>
      <c r="K41" s="42">
        <f t="shared" si="3"/>
        <v>7</v>
      </c>
      <c r="L41" s="42">
        <f t="shared" si="3"/>
        <v>1</v>
      </c>
      <c r="N41" s="42" t="e">
        <f t="shared" si="4"/>
        <v>#N/A</v>
      </c>
      <c r="O41" s="42" t="e">
        <f t="shared" si="4"/>
        <v>#N/A</v>
      </c>
      <c r="Q41" s="42" t="e">
        <f t="shared" si="5"/>
        <v>#N/A</v>
      </c>
      <c r="R41" s="42" t="e">
        <f t="shared" si="5"/>
        <v>#N/A</v>
      </c>
      <c r="T41" s="42">
        <f t="shared" si="0"/>
        <v>192</v>
      </c>
      <c r="U41" s="42">
        <f>RANK(T41,$T$18:$T$67,1)+COUNTIF(T41:$T$67,T41)-1</f>
        <v>21</v>
      </c>
      <c r="AI41" s="45">
        <v>24</v>
      </c>
      <c r="AJ41" s="45" t="str">
        <f t="shared" si="6"/>
        <v>#32</v>
      </c>
      <c r="AL41" s="40" t="str">
        <f t="shared" si="7"/>
        <v>BOTTOM RIGHT</v>
      </c>
    </row>
    <row r="42" spans="2:38" x14ac:dyDescent="0.25">
      <c r="B42" s="45" t="s">
        <v>201</v>
      </c>
      <c r="C42" s="40">
        <v>7</v>
      </c>
      <c r="D42" s="40">
        <v>5</v>
      </c>
      <c r="F42" s="42" t="str">
        <f t="shared" si="1"/>
        <v>TOP RIGHT</v>
      </c>
      <c r="H42" s="42">
        <f t="shared" si="2"/>
        <v>7</v>
      </c>
      <c r="I42" s="42">
        <f t="shared" si="2"/>
        <v>5</v>
      </c>
      <c r="K42" s="42" t="e">
        <f t="shared" si="3"/>
        <v>#N/A</v>
      </c>
      <c r="L42" s="42" t="e">
        <f t="shared" si="3"/>
        <v>#N/A</v>
      </c>
      <c r="N42" s="42" t="e">
        <f t="shared" si="4"/>
        <v>#N/A</v>
      </c>
      <c r="O42" s="42" t="e">
        <f t="shared" si="4"/>
        <v>#N/A</v>
      </c>
      <c r="Q42" s="42" t="e">
        <f t="shared" si="5"/>
        <v>#N/A</v>
      </c>
      <c r="R42" s="42" t="e">
        <f t="shared" si="5"/>
        <v>#N/A</v>
      </c>
      <c r="T42" s="42">
        <f t="shared" si="0"/>
        <v>88</v>
      </c>
      <c r="U42" s="42">
        <f>RANK(T42,$T$18:$T$67,1)+COUNTIF(T42:$T$67,T42)-1</f>
        <v>4</v>
      </c>
      <c r="AI42" s="45">
        <v>25</v>
      </c>
      <c r="AJ42" s="45" t="str">
        <f t="shared" si="6"/>
        <v>#29</v>
      </c>
      <c r="AL42" s="40" t="str">
        <f t="shared" si="7"/>
        <v>BOTTOM RIGHT</v>
      </c>
    </row>
    <row r="43" spans="2:38" x14ac:dyDescent="0.25">
      <c r="B43" s="45" t="s">
        <v>202</v>
      </c>
      <c r="C43" s="40">
        <v>5</v>
      </c>
      <c r="D43" s="40">
        <v>3</v>
      </c>
      <c r="F43" s="42" t="str">
        <f t="shared" si="1"/>
        <v>TOP RIGHT</v>
      </c>
      <c r="H43" s="42">
        <f t="shared" si="2"/>
        <v>5</v>
      </c>
      <c r="I43" s="42">
        <f t="shared" si="2"/>
        <v>3</v>
      </c>
      <c r="K43" s="42" t="e">
        <f t="shared" si="3"/>
        <v>#N/A</v>
      </c>
      <c r="L43" s="42" t="e">
        <f t="shared" si="3"/>
        <v>#N/A</v>
      </c>
      <c r="N43" s="42" t="e">
        <f t="shared" si="4"/>
        <v>#N/A</v>
      </c>
      <c r="O43" s="42" t="e">
        <f t="shared" si="4"/>
        <v>#N/A</v>
      </c>
      <c r="Q43" s="42" t="e">
        <f t="shared" si="5"/>
        <v>#N/A</v>
      </c>
      <c r="R43" s="42" t="e">
        <f t="shared" si="5"/>
        <v>#N/A</v>
      </c>
      <c r="T43" s="42">
        <f t="shared" si="0"/>
        <v>92</v>
      </c>
      <c r="U43" s="42">
        <f>RANK(T43,$T$18:$T$67,1)+COUNTIF(T43:$T$67,T43)-1</f>
        <v>12</v>
      </c>
      <c r="AI43" s="45">
        <v>26</v>
      </c>
      <c r="AJ43" s="45" t="str">
        <f t="shared" si="6"/>
        <v>#23</v>
      </c>
      <c r="AL43" s="40" t="str">
        <f t="shared" si="7"/>
        <v>BOTTOM RIGHT</v>
      </c>
    </row>
    <row r="44" spans="2:38" x14ac:dyDescent="0.25">
      <c r="B44" s="45" t="s">
        <v>203</v>
      </c>
      <c r="C44" s="40">
        <v>5</v>
      </c>
      <c r="D44" s="40">
        <v>1</v>
      </c>
      <c r="F44" s="42" t="str">
        <f t="shared" si="1"/>
        <v>BOTTOM RIGHT</v>
      </c>
      <c r="H44" s="42" t="e">
        <f t="shared" si="2"/>
        <v>#N/A</v>
      </c>
      <c r="I44" s="42" t="e">
        <f t="shared" si="2"/>
        <v>#N/A</v>
      </c>
      <c r="K44" s="42">
        <f t="shared" si="3"/>
        <v>5</v>
      </c>
      <c r="L44" s="42">
        <f t="shared" si="3"/>
        <v>1</v>
      </c>
      <c r="N44" s="42" t="e">
        <f t="shared" si="4"/>
        <v>#N/A</v>
      </c>
      <c r="O44" s="42" t="e">
        <f t="shared" si="4"/>
        <v>#N/A</v>
      </c>
      <c r="Q44" s="42" t="e">
        <f t="shared" si="5"/>
        <v>#N/A</v>
      </c>
      <c r="R44" s="42" t="e">
        <f t="shared" si="5"/>
        <v>#N/A</v>
      </c>
      <c r="T44" s="42">
        <f t="shared" si="0"/>
        <v>194</v>
      </c>
      <c r="U44" s="42">
        <f>RANK(T44,$T$18:$T$67,1)+COUNTIF(T44:$T$67,T44)-1</f>
        <v>29</v>
      </c>
      <c r="AI44" s="45">
        <v>27</v>
      </c>
      <c r="AJ44" s="45" t="str">
        <f t="shared" si="6"/>
        <v>#21</v>
      </c>
      <c r="AL44" s="40" t="str">
        <f t="shared" si="7"/>
        <v>BOTTOM RIGHT</v>
      </c>
    </row>
    <row r="45" spans="2:38" x14ac:dyDescent="0.25">
      <c r="B45" s="45" t="s">
        <v>204</v>
      </c>
      <c r="C45" s="40">
        <v>7</v>
      </c>
      <c r="D45" s="40">
        <v>6</v>
      </c>
      <c r="F45" s="42" t="str">
        <f t="shared" si="1"/>
        <v>TOP RIGHT</v>
      </c>
      <c r="H45" s="42">
        <f t="shared" si="2"/>
        <v>7</v>
      </c>
      <c r="I45" s="42">
        <f t="shared" si="2"/>
        <v>6</v>
      </c>
      <c r="K45" s="42" t="e">
        <f t="shared" si="3"/>
        <v>#N/A</v>
      </c>
      <c r="L45" s="42" t="e">
        <f t="shared" si="3"/>
        <v>#N/A</v>
      </c>
      <c r="N45" s="42" t="e">
        <f t="shared" si="4"/>
        <v>#N/A</v>
      </c>
      <c r="O45" s="42" t="e">
        <f t="shared" si="4"/>
        <v>#N/A</v>
      </c>
      <c r="Q45" s="42" t="e">
        <f t="shared" si="5"/>
        <v>#N/A</v>
      </c>
      <c r="R45" s="42" t="e">
        <f t="shared" si="5"/>
        <v>#N/A</v>
      </c>
      <c r="T45" s="42">
        <f t="shared" si="0"/>
        <v>87</v>
      </c>
      <c r="U45" s="42">
        <f>RANK(T45,$T$18:$T$67,1)+COUNTIF(T45:$T$67,T45)-1</f>
        <v>2</v>
      </c>
      <c r="AI45" s="45">
        <v>28</v>
      </c>
      <c r="AJ45" s="45" t="str">
        <f t="shared" si="6"/>
        <v>#45</v>
      </c>
      <c r="AL45" s="40" t="str">
        <f t="shared" si="7"/>
        <v>BOTTOM RIGHT</v>
      </c>
    </row>
    <row r="46" spans="2:38" x14ac:dyDescent="0.25">
      <c r="B46" s="45" t="s">
        <v>205</v>
      </c>
      <c r="C46" s="40">
        <v>6</v>
      </c>
      <c r="D46" s="40">
        <v>1</v>
      </c>
      <c r="F46" s="42" t="str">
        <f t="shared" si="1"/>
        <v>BOTTOM RIGHT</v>
      </c>
      <c r="H46" s="42" t="e">
        <f t="shared" si="2"/>
        <v>#N/A</v>
      </c>
      <c r="I46" s="42" t="e">
        <f t="shared" si="2"/>
        <v>#N/A</v>
      </c>
      <c r="K46" s="42">
        <f t="shared" si="3"/>
        <v>6</v>
      </c>
      <c r="L46" s="42">
        <f t="shared" si="3"/>
        <v>1</v>
      </c>
      <c r="N46" s="42" t="e">
        <f t="shared" si="4"/>
        <v>#N/A</v>
      </c>
      <c r="O46" s="42" t="e">
        <f t="shared" si="4"/>
        <v>#N/A</v>
      </c>
      <c r="Q46" s="42" t="e">
        <f t="shared" si="5"/>
        <v>#N/A</v>
      </c>
      <c r="R46" s="42" t="e">
        <f t="shared" si="5"/>
        <v>#N/A</v>
      </c>
      <c r="T46" s="42">
        <f t="shared" si="0"/>
        <v>193</v>
      </c>
      <c r="U46" s="42">
        <f>RANK(T46,$T$18:$T$67,1)+COUNTIF(T46:$T$67,T46)-1</f>
        <v>25</v>
      </c>
      <c r="AI46" s="45">
        <v>29</v>
      </c>
      <c r="AJ46" s="45" t="str">
        <f t="shared" si="6"/>
        <v>#27</v>
      </c>
      <c r="AL46" s="40" t="str">
        <f t="shared" si="7"/>
        <v>BOTTOM RIGHT</v>
      </c>
    </row>
    <row r="47" spans="2:38" x14ac:dyDescent="0.25">
      <c r="B47" s="45" t="s">
        <v>206</v>
      </c>
      <c r="C47" s="40">
        <v>8</v>
      </c>
      <c r="D47" s="40">
        <v>3</v>
      </c>
      <c r="F47" s="42" t="str">
        <f t="shared" si="1"/>
        <v>TOP RIGHT</v>
      </c>
      <c r="H47" s="42">
        <f t="shared" si="2"/>
        <v>8</v>
      </c>
      <c r="I47" s="42">
        <f t="shared" si="2"/>
        <v>3</v>
      </c>
      <c r="K47" s="42" t="e">
        <f t="shared" si="3"/>
        <v>#N/A</v>
      </c>
      <c r="L47" s="42" t="e">
        <f t="shared" si="3"/>
        <v>#N/A</v>
      </c>
      <c r="N47" s="42" t="e">
        <f t="shared" si="4"/>
        <v>#N/A</v>
      </c>
      <c r="O47" s="42" t="e">
        <f t="shared" si="4"/>
        <v>#N/A</v>
      </c>
      <c r="Q47" s="42" t="e">
        <f t="shared" si="5"/>
        <v>#N/A</v>
      </c>
      <c r="R47" s="42" t="e">
        <f t="shared" si="5"/>
        <v>#N/A</v>
      </c>
      <c r="T47" s="42">
        <f t="shared" si="0"/>
        <v>89</v>
      </c>
      <c r="U47" s="42">
        <f>RANK(T47,$T$18:$T$67,1)+COUNTIF(T47:$T$67,T47)-1</f>
        <v>5</v>
      </c>
      <c r="AI47" s="45">
        <v>30</v>
      </c>
      <c r="AJ47" s="45" t="str">
        <f t="shared" si="6"/>
        <v>#16</v>
      </c>
      <c r="AL47" s="40" t="str">
        <f t="shared" si="7"/>
        <v>BOTTOM RIGHT</v>
      </c>
    </row>
    <row r="48" spans="2:38" x14ac:dyDescent="0.25">
      <c r="B48" s="45" t="s">
        <v>207</v>
      </c>
      <c r="C48" s="40">
        <v>1</v>
      </c>
      <c r="D48" s="40">
        <v>6</v>
      </c>
      <c r="F48" s="42" t="str">
        <f t="shared" si="1"/>
        <v>TOP LEFT</v>
      </c>
      <c r="H48" s="42" t="e">
        <f t="shared" si="2"/>
        <v>#N/A</v>
      </c>
      <c r="I48" s="42" t="e">
        <f t="shared" si="2"/>
        <v>#N/A</v>
      </c>
      <c r="K48" s="42" t="e">
        <f t="shared" si="3"/>
        <v>#N/A</v>
      </c>
      <c r="L48" s="42" t="e">
        <f t="shared" si="3"/>
        <v>#N/A</v>
      </c>
      <c r="N48" s="42">
        <f t="shared" si="4"/>
        <v>1</v>
      </c>
      <c r="O48" s="42">
        <f t="shared" si="4"/>
        <v>6</v>
      </c>
      <c r="Q48" s="42" t="e">
        <f t="shared" si="5"/>
        <v>#N/A</v>
      </c>
      <c r="R48" s="42" t="e">
        <f t="shared" si="5"/>
        <v>#N/A</v>
      </c>
      <c r="T48" s="42">
        <f t="shared" si="0"/>
        <v>293</v>
      </c>
      <c r="U48" s="42">
        <f>RANK(T48,$T$18:$T$67,1)+COUNTIF(T48:$T$67,T48)-1</f>
        <v>34</v>
      </c>
      <c r="AI48" s="45">
        <v>31</v>
      </c>
      <c r="AJ48" s="45" t="str">
        <f t="shared" si="6"/>
        <v>#2</v>
      </c>
      <c r="AL48" s="40" t="str">
        <f t="shared" si="7"/>
        <v>BOTTOM RIGHT</v>
      </c>
    </row>
    <row r="49" spans="2:38" x14ac:dyDescent="0.25">
      <c r="B49" s="45" t="s">
        <v>208</v>
      </c>
      <c r="C49" s="40">
        <v>6</v>
      </c>
      <c r="D49" s="40">
        <v>1</v>
      </c>
      <c r="F49" s="42" t="str">
        <f t="shared" si="1"/>
        <v>BOTTOM RIGHT</v>
      </c>
      <c r="H49" s="42" t="e">
        <f t="shared" si="2"/>
        <v>#N/A</v>
      </c>
      <c r="I49" s="42" t="e">
        <f t="shared" si="2"/>
        <v>#N/A</v>
      </c>
      <c r="K49" s="42">
        <f t="shared" si="3"/>
        <v>6</v>
      </c>
      <c r="L49" s="42">
        <f t="shared" si="3"/>
        <v>1</v>
      </c>
      <c r="N49" s="42" t="e">
        <f t="shared" si="4"/>
        <v>#N/A</v>
      </c>
      <c r="O49" s="42" t="e">
        <f t="shared" si="4"/>
        <v>#N/A</v>
      </c>
      <c r="Q49" s="42" t="e">
        <f t="shared" si="5"/>
        <v>#N/A</v>
      </c>
      <c r="R49" s="42" t="e">
        <f t="shared" si="5"/>
        <v>#N/A</v>
      </c>
      <c r="T49" s="42">
        <f t="shared" si="0"/>
        <v>193</v>
      </c>
      <c r="U49" s="42">
        <f>RANK(T49,$T$18:$T$67,1)+COUNTIF(T49:$T$67,T49)-1</f>
        <v>24</v>
      </c>
      <c r="AI49" s="45">
        <v>32</v>
      </c>
      <c r="AJ49" s="45" t="str">
        <f t="shared" si="6"/>
        <v>#36</v>
      </c>
      <c r="AL49" s="40" t="str">
        <f t="shared" si="7"/>
        <v>TOP LEFT</v>
      </c>
    </row>
    <row r="50" spans="2:38" x14ac:dyDescent="0.25">
      <c r="B50" s="45" t="s">
        <v>209</v>
      </c>
      <c r="C50" s="40">
        <v>3</v>
      </c>
      <c r="D50" s="40">
        <v>1</v>
      </c>
      <c r="F50" s="42" t="str">
        <f t="shared" si="1"/>
        <v>BOTTOM LEFT</v>
      </c>
      <c r="H50" s="42" t="e">
        <f t="shared" si="2"/>
        <v>#N/A</v>
      </c>
      <c r="I50" s="42" t="e">
        <f t="shared" si="2"/>
        <v>#N/A</v>
      </c>
      <c r="K50" s="42" t="e">
        <f t="shared" si="3"/>
        <v>#N/A</v>
      </c>
      <c r="L50" s="42" t="e">
        <f t="shared" si="3"/>
        <v>#N/A</v>
      </c>
      <c r="N50" s="42" t="e">
        <f t="shared" si="4"/>
        <v>#N/A</v>
      </c>
      <c r="O50" s="42" t="e">
        <f t="shared" si="4"/>
        <v>#N/A</v>
      </c>
      <c r="Q50" s="42">
        <f t="shared" si="5"/>
        <v>3</v>
      </c>
      <c r="R50" s="42">
        <f t="shared" si="5"/>
        <v>1</v>
      </c>
      <c r="T50" s="42">
        <f t="shared" si="0"/>
        <v>396</v>
      </c>
      <c r="U50" s="42">
        <f>RANK(T50,$T$18:$T$67,1)+COUNTIF(T50:$T$67,T50)-1</f>
        <v>43</v>
      </c>
      <c r="AI50" s="45">
        <v>33</v>
      </c>
      <c r="AJ50" s="45" t="str">
        <f t="shared" si="6"/>
        <v>#6</v>
      </c>
      <c r="AL50" s="40" t="str">
        <f t="shared" si="7"/>
        <v>TOP LEFT</v>
      </c>
    </row>
    <row r="51" spans="2:38" x14ac:dyDescent="0.25">
      <c r="B51" s="45" t="s">
        <v>210</v>
      </c>
      <c r="C51" s="40">
        <v>1</v>
      </c>
      <c r="D51" s="40">
        <v>0</v>
      </c>
      <c r="F51" s="42" t="str">
        <f t="shared" si="1"/>
        <v>BOTTOM LEFT</v>
      </c>
      <c r="H51" s="42" t="e">
        <f t="shared" si="2"/>
        <v>#N/A</v>
      </c>
      <c r="I51" s="42" t="e">
        <f t="shared" si="2"/>
        <v>#N/A</v>
      </c>
      <c r="K51" s="42" t="e">
        <f t="shared" si="3"/>
        <v>#N/A</v>
      </c>
      <c r="L51" s="42" t="e">
        <f t="shared" si="3"/>
        <v>#N/A</v>
      </c>
      <c r="N51" s="42" t="e">
        <f t="shared" si="4"/>
        <v>#N/A</v>
      </c>
      <c r="O51" s="42" t="e">
        <f t="shared" si="4"/>
        <v>#N/A</v>
      </c>
      <c r="Q51" s="42">
        <f t="shared" si="5"/>
        <v>1</v>
      </c>
      <c r="R51" s="42">
        <f t="shared" si="5"/>
        <v>0</v>
      </c>
      <c r="T51" s="42">
        <f t="shared" si="0"/>
        <v>399</v>
      </c>
      <c r="U51" s="42">
        <f>RANK(T51,$T$18:$T$67,1)+COUNTIF(T51:$T$67,T51)-1</f>
        <v>50</v>
      </c>
      <c r="AI51" s="45">
        <v>34</v>
      </c>
      <c r="AJ51" s="45" t="str">
        <f t="shared" si="6"/>
        <v>#31</v>
      </c>
      <c r="AL51" s="40" t="str">
        <f t="shared" si="7"/>
        <v>TOP LEFT</v>
      </c>
    </row>
    <row r="52" spans="2:38" x14ac:dyDescent="0.25">
      <c r="B52" s="45" t="s">
        <v>211</v>
      </c>
      <c r="C52" s="40">
        <v>7</v>
      </c>
      <c r="D52" s="40">
        <v>1</v>
      </c>
      <c r="F52" s="42" t="str">
        <f t="shared" si="1"/>
        <v>BOTTOM RIGHT</v>
      </c>
      <c r="H52" s="42" t="e">
        <f t="shared" si="2"/>
        <v>#N/A</v>
      </c>
      <c r="I52" s="42" t="e">
        <f t="shared" si="2"/>
        <v>#N/A</v>
      </c>
      <c r="K52" s="42">
        <f t="shared" si="3"/>
        <v>7</v>
      </c>
      <c r="L52" s="42">
        <f t="shared" si="3"/>
        <v>1</v>
      </c>
      <c r="N52" s="42" t="e">
        <f t="shared" si="4"/>
        <v>#N/A</v>
      </c>
      <c r="O52" s="42" t="e">
        <f t="shared" si="4"/>
        <v>#N/A</v>
      </c>
      <c r="Q52" s="42" t="e">
        <f t="shared" si="5"/>
        <v>#N/A</v>
      </c>
      <c r="R52" s="42" t="e">
        <f t="shared" si="5"/>
        <v>#N/A</v>
      </c>
      <c r="T52" s="42">
        <f t="shared" si="0"/>
        <v>192</v>
      </c>
      <c r="U52" s="42">
        <f>RANK(T52,$T$18:$T$67,1)+COUNTIF(T52:$T$67,T52)-1</f>
        <v>20</v>
      </c>
      <c r="AI52" s="45">
        <v>35</v>
      </c>
      <c r="AJ52" s="45" t="str">
        <f t="shared" si="6"/>
        <v>#12</v>
      </c>
      <c r="AL52" s="40" t="str">
        <f t="shared" si="7"/>
        <v>TOP LEFT</v>
      </c>
    </row>
    <row r="53" spans="2:38" x14ac:dyDescent="0.25">
      <c r="B53" s="45" t="s">
        <v>212</v>
      </c>
      <c r="C53" s="40">
        <v>3</v>
      </c>
      <c r="D53" s="40">
        <v>6</v>
      </c>
      <c r="F53" s="42" t="str">
        <f t="shared" si="1"/>
        <v>TOP LEFT</v>
      </c>
      <c r="H53" s="42" t="e">
        <f t="shared" si="2"/>
        <v>#N/A</v>
      </c>
      <c r="I53" s="42" t="e">
        <f t="shared" si="2"/>
        <v>#N/A</v>
      </c>
      <c r="K53" s="42" t="e">
        <f t="shared" si="3"/>
        <v>#N/A</v>
      </c>
      <c r="L53" s="42" t="e">
        <f t="shared" si="3"/>
        <v>#N/A</v>
      </c>
      <c r="N53" s="42">
        <f t="shared" si="4"/>
        <v>3</v>
      </c>
      <c r="O53" s="42">
        <f t="shared" si="4"/>
        <v>6</v>
      </c>
      <c r="Q53" s="42" t="e">
        <f t="shared" si="5"/>
        <v>#N/A</v>
      </c>
      <c r="R53" s="42" t="e">
        <f t="shared" si="5"/>
        <v>#N/A</v>
      </c>
      <c r="T53" s="42">
        <f t="shared" si="0"/>
        <v>291</v>
      </c>
      <c r="U53" s="42">
        <f>RANK(T53,$T$18:$T$67,1)+COUNTIF(T53:$T$67,T53)-1</f>
        <v>32</v>
      </c>
      <c r="AI53" s="45">
        <v>36</v>
      </c>
      <c r="AJ53" s="45" t="str">
        <f t="shared" si="6"/>
        <v>#44</v>
      </c>
      <c r="AL53" s="40" t="str">
        <f t="shared" si="7"/>
        <v>TOP LEFT</v>
      </c>
    </row>
    <row r="54" spans="2:38" x14ac:dyDescent="0.25">
      <c r="B54" s="45" t="s">
        <v>213</v>
      </c>
      <c r="C54" s="40">
        <v>2</v>
      </c>
      <c r="D54" s="40">
        <v>4</v>
      </c>
      <c r="F54" s="42" t="str">
        <f t="shared" si="1"/>
        <v>TOP LEFT</v>
      </c>
      <c r="H54" s="42" t="e">
        <f t="shared" si="2"/>
        <v>#N/A</v>
      </c>
      <c r="I54" s="42" t="e">
        <f t="shared" si="2"/>
        <v>#N/A</v>
      </c>
      <c r="K54" s="42" t="e">
        <f t="shared" si="3"/>
        <v>#N/A</v>
      </c>
      <c r="L54" s="42" t="e">
        <f t="shared" si="3"/>
        <v>#N/A</v>
      </c>
      <c r="N54" s="42">
        <f t="shared" si="4"/>
        <v>2</v>
      </c>
      <c r="O54" s="42">
        <f t="shared" si="4"/>
        <v>4</v>
      </c>
      <c r="Q54" s="42" t="e">
        <f t="shared" si="5"/>
        <v>#N/A</v>
      </c>
      <c r="R54" s="42" t="e">
        <f t="shared" si="5"/>
        <v>#N/A</v>
      </c>
      <c r="T54" s="42">
        <f t="shared" si="0"/>
        <v>294</v>
      </c>
      <c r="U54" s="42">
        <f>RANK(T54,$T$18:$T$67,1)+COUNTIF(T54:$T$67,T54)-1</f>
        <v>37</v>
      </c>
      <c r="AI54" s="45">
        <v>37</v>
      </c>
      <c r="AJ54" s="45" t="str">
        <f t="shared" si="6"/>
        <v>#37</v>
      </c>
      <c r="AL54" s="40" t="str">
        <f t="shared" si="7"/>
        <v>TOP LEFT</v>
      </c>
    </row>
    <row r="55" spans="2:38" x14ac:dyDescent="0.25">
      <c r="B55" s="45" t="s">
        <v>214</v>
      </c>
      <c r="C55" s="40">
        <v>6</v>
      </c>
      <c r="D55" s="40">
        <v>1</v>
      </c>
      <c r="F55" s="42" t="str">
        <f t="shared" si="1"/>
        <v>BOTTOM RIGHT</v>
      </c>
      <c r="H55" s="42" t="e">
        <f t="shared" si="2"/>
        <v>#N/A</v>
      </c>
      <c r="I55" s="42" t="e">
        <f t="shared" si="2"/>
        <v>#N/A</v>
      </c>
      <c r="K55" s="42">
        <f t="shared" si="3"/>
        <v>6</v>
      </c>
      <c r="L55" s="42">
        <f t="shared" si="3"/>
        <v>1</v>
      </c>
      <c r="N55" s="42" t="e">
        <f t="shared" si="4"/>
        <v>#N/A</v>
      </c>
      <c r="O55" s="42" t="e">
        <f t="shared" si="4"/>
        <v>#N/A</v>
      </c>
      <c r="Q55" s="42" t="e">
        <f t="shared" si="5"/>
        <v>#N/A</v>
      </c>
      <c r="R55" s="42" t="e">
        <f t="shared" si="5"/>
        <v>#N/A</v>
      </c>
      <c r="T55" s="42">
        <f t="shared" si="0"/>
        <v>193</v>
      </c>
      <c r="U55" s="42">
        <f>RANK(T55,$T$18:$T$67,1)+COUNTIF(T55:$T$67,T55)-1</f>
        <v>23</v>
      </c>
      <c r="AI55" s="45">
        <v>38</v>
      </c>
      <c r="AJ55" s="45" t="str">
        <f t="shared" si="6"/>
        <v>#17</v>
      </c>
      <c r="AL55" s="40" t="str">
        <f t="shared" si="7"/>
        <v>TOP LEFT</v>
      </c>
    </row>
    <row r="56" spans="2:38" x14ac:dyDescent="0.25">
      <c r="B56" s="45" t="s">
        <v>215</v>
      </c>
      <c r="C56" s="40">
        <v>8</v>
      </c>
      <c r="D56" s="40">
        <v>1</v>
      </c>
      <c r="F56" s="42" t="str">
        <f t="shared" si="1"/>
        <v>BOTTOM RIGHT</v>
      </c>
      <c r="H56" s="42" t="e">
        <f t="shared" si="2"/>
        <v>#N/A</v>
      </c>
      <c r="I56" s="42" t="e">
        <f t="shared" si="2"/>
        <v>#N/A</v>
      </c>
      <c r="K56" s="42">
        <f t="shared" si="3"/>
        <v>8</v>
      </c>
      <c r="L56" s="42">
        <f t="shared" si="3"/>
        <v>1</v>
      </c>
      <c r="N56" s="42" t="e">
        <f t="shared" si="4"/>
        <v>#N/A</v>
      </c>
      <c r="O56" s="42" t="e">
        <f t="shared" si="4"/>
        <v>#N/A</v>
      </c>
      <c r="Q56" s="42" t="e">
        <f t="shared" si="5"/>
        <v>#N/A</v>
      </c>
      <c r="R56" s="42" t="e">
        <f t="shared" si="5"/>
        <v>#N/A</v>
      </c>
      <c r="T56" s="42">
        <f t="shared" si="0"/>
        <v>191</v>
      </c>
      <c r="U56" s="42">
        <f>RANK(T56,$T$18:$T$67,1)+COUNTIF(T56:$T$67,T56)-1</f>
        <v>16</v>
      </c>
      <c r="AI56" s="45">
        <v>39</v>
      </c>
      <c r="AJ56" s="45" t="str">
        <f t="shared" si="6"/>
        <v>#43</v>
      </c>
      <c r="AL56" s="40" t="str">
        <f t="shared" si="7"/>
        <v>BOTTOM LEFT</v>
      </c>
    </row>
    <row r="57" spans="2:38" x14ac:dyDescent="0.25">
      <c r="B57" s="45" t="s">
        <v>216</v>
      </c>
      <c r="C57" s="40">
        <v>6</v>
      </c>
      <c r="D57" s="40">
        <v>2</v>
      </c>
      <c r="F57" s="42" t="str">
        <f t="shared" si="1"/>
        <v>BOTTOM RIGHT</v>
      </c>
      <c r="H57" s="42" t="e">
        <f t="shared" si="2"/>
        <v>#N/A</v>
      </c>
      <c r="I57" s="42" t="e">
        <f t="shared" si="2"/>
        <v>#N/A</v>
      </c>
      <c r="K57" s="42">
        <f t="shared" si="3"/>
        <v>6</v>
      </c>
      <c r="L57" s="42">
        <f t="shared" si="3"/>
        <v>2</v>
      </c>
      <c r="N57" s="42" t="e">
        <f t="shared" si="4"/>
        <v>#N/A</v>
      </c>
      <c r="O57" s="42" t="e">
        <f t="shared" si="4"/>
        <v>#N/A</v>
      </c>
      <c r="Q57" s="42" t="e">
        <f t="shared" si="5"/>
        <v>#N/A</v>
      </c>
      <c r="R57" s="42" t="e">
        <f t="shared" si="5"/>
        <v>#N/A</v>
      </c>
      <c r="T57" s="42">
        <f t="shared" si="0"/>
        <v>192</v>
      </c>
      <c r="U57" s="42">
        <f>RANK(T57,$T$18:$T$67,1)+COUNTIF(T57:$T$67,T57)-1</f>
        <v>19</v>
      </c>
      <c r="AI57" s="45">
        <v>40</v>
      </c>
      <c r="AJ57" s="45" t="str">
        <f t="shared" si="6"/>
        <v>#42</v>
      </c>
      <c r="AL57" s="40" t="str">
        <f t="shared" si="7"/>
        <v>BOTTOM LEFT</v>
      </c>
    </row>
    <row r="58" spans="2:38" x14ac:dyDescent="0.25">
      <c r="B58" s="45" t="s">
        <v>217</v>
      </c>
      <c r="C58" s="40">
        <v>8</v>
      </c>
      <c r="D58" s="40">
        <v>6</v>
      </c>
      <c r="F58" s="42" t="str">
        <f t="shared" si="1"/>
        <v>TOP RIGHT</v>
      </c>
      <c r="H58" s="42">
        <f t="shared" si="2"/>
        <v>8</v>
      </c>
      <c r="I58" s="42">
        <f t="shared" si="2"/>
        <v>6</v>
      </c>
      <c r="K58" s="42" t="e">
        <f t="shared" si="3"/>
        <v>#N/A</v>
      </c>
      <c r="L58" s="42" t="e">
        <f t="shared" si="3"/>
        <v>#N/A</v>
      </c>
      <c r="N58" s="42" t="e">
        <f t="shared" si="4"/>
        <v>#N/A</v>
      </c>
      <c r="O58" s="42" t="e">
        <f t="shared" si="4"/>
        <v>#N/A</v>
      </c>
      <c r="Q58" s="42" t="e">
        <f t="shared" si="5"/>
        <v>#N/A</v>
      </c>
      <c r="R58" s="42" t="e">
        <f t="shared" si="5"/>
        <v>#N/A</v>
      </c>
      <c r="T58" s="42">
        <f t="shared" si="0"/>
        <v>86</v>
      </c>
      <c r="U58" s="42">
        <f>RANK(T58,$T$18:$T$67,1)+COUNTIF(T58:$T$67,T58)-1</f>
        <v>1</v>
      </c>
      <c r="AI58" s="45">
        <v>41</v>
      </c>
      <c r="AJ58" s="45" t="str">
        <f t="shared" si="6"/>
        <v>#3</v>
      </c>
      <c r="AL58" s="40" t="str">
        <f t="shared" si="7"/>
        <v>BOTTOM LEFT</v>
      </c>
    </row>
    <row r="59" spans="2:38" x14ac:dyDescent="0.25">
      <c r="B59" s="45" t="s">
        <v>218</v>
      </c>
      <c r="C59" s="40">
        <v>3</v>
      </c>
      <c r="D59" s="40">
        <v>2</v>
      </c>
      <c r="F59" s="42" t="str">
        <f t="shared" si="1"/>
        <v>BOTTOM LEFT</v>
      </c>
      <c r="H59" s="42" t="e">
        <f t="shared" si="2"/>
        <v>#N/A</v>
      </c>
      <c r="I59" s="42" t="e">
        <f t="shared" si="2"/>
        <v>#N/A</v>
      </c>
      <c r="K59" s="42" t="e">
        <f t="shared" si="3"/>
        <v>#N/A</v>
      </c>
      <c r="L59" s="42" t="e">
        <f t="shared" si="3"/>
        <v>#N/A</v>
      </c>
      <c r="N59" s="42" t="e">
        <f t="shared" si="4"/>
        <v>#N/A</v>
      </c>
      <c r="O59" s="42" t="e">
        <f t="shared" si="4"/>
        <v>#N/A</v>
      </c>
      <c r="Q59" s="42">
        <f t="shared" si="5"/>
        <v>3</v>
      </c>
      <c r="R59" s="42">
        <f t="shared" si="5"/>
        <v>2</v>
      </c>
      <c r="T59" s="42">
        <f t="shared" si="0"/>
        <v>395</v>
      </c>
      <c r="U59" s="42">
        <f>RANK(T59,$T$18:$T$67,1)+COUNTIF(T59:$T$67,T59)-1</f>
        <v>40</v>
      </c>
      <c r="AI59" s="45">
        <v>42</v>
      </c>
      <c r="AJ59" s="45" t="str">
        <f t="shared" si="6"/>
        <v>#48</v>
      </c>
      <c r="AL59" s="40" t="str">
        <f t="shared" si="7"/>
        <v>BOTTOM LEFT</v>
      </c>
    </row>
    <row r="60" spans="2:38" x14ac:dyDescent="0.25">
      <c r="B60" s="45" t="s">
        <v>219</v>
      </c>
      <c r="C60" s="40">
        <v>2</v>
      </c>
      <c r="D60" s="40">
        <v>3</v>
      </c>
      <c r="F60" s="42" t="str">
        <f t="shared" si="1"/>
        <v>BOTTOM LEFT</v>
      </c>
      <c r="H60" s="42" t="e">
        <f t="shared" si="2"/>
        <v>#N/A</v>
      </c>
      <c r="I60" s="42" t="e">
        <f t="shared" si="2"/>
        <v>#N/A</v>
      </c>
      <c r="K60" s="42" t="e">
        <f t="shared" si="3"/>
        <v>#N/A</v>
      </c>
      <c r="L60" s="42" t="e">
        <f t="shared" si="3"/>
        <v>#N/A</v>
      </c>
      <c r="N60" s="42" t="e">
        <f t="shared" si="4"/>
        <v>#N/A</v>
      </c>
      <c r="O60" s="42" t="e">
        <f t="shared" si="4"/>
        <v>#N/A</v>
      </c>
      <c r="Q60" s="42">
        <f t="shared" si="5"/>
        <v>2</v>
      </c>
      <c r="R60" s="42">
        <f t="shared" si="5"/>
        <v>3</v>
      </c>
      <c r="T60" s="42">
        <f t="shared" si="0"/>
        <v>395</v>
      </c>
      <c r="U60" s="42">
        <f>RANK(T60,$T$18:$T$67,1)+COUNTIF(T60:$T$67,T60)-1</f>
        <v>39</v>
      </c>
      <c r="AI60" s="45">
        <v>43</v>
      </c>
      <c r="AJ60" s="45" t="str">
        <f t="shared" si="6"/>
        <v>#33</v>
      </c>
      <c r="AL60" s="40" t="str">
        <f t="shared" si="7"/>
        <v>BOTTOM LEFT</v>
      </c>
    </row>
    <row r="61" spans="2:38" x14ac:dyDescent="0.25">
      <c r="B61" s="45" t="s">
        <v>220</v>
      </c>
      <c r="C61" s="40">
        <v>2</v>
      </c>
      <c r="D61" s="40">
        <v>4</v>
      </c>
      <c r="F61" s="42" t="str">
        <f t="shared" si="1"/>
        <v>TOP LEFT</v>
      </c>
      <c r="H61" s="42" t="e">
        <f t="shared" si="2"/>
        <v>#N/A</v>
      </c>
      <c r="I61" s="42" t="e">
        <f t="shared" si="2"/>
        <v>#N/A</v>
      </c>
      <c r="K61" s="42" t="e">
        <f t="shared" si="3"/>
        <v>#N/A</v>
      </c>
      <c r="L61" s="42" t="e">
        <f t="shared" si="3"/>
        <v>#N/A</v>
      </c>
      <c r="N61" s="42">
        <f t="shared" si="4"/>
        <v>2</v>
      </c>
      <c r="O61" s="42">
        <f t="shared" si="4"/>
        <v>4</v>
      </c>
      <c r="Q61" s="42" t="e">
        <f t="shared" si="5"/>
        <v>#N/A</v>
      </c>
      <c r="R61" s="42" t="e">
        <f t="shared" si="5"/>
        <v>#N/A</v>
      </c>
      <c r="T61" s="42">
        <f t="shared" si="0"/>
        <v>294</v>
      </c>
      <c r="U61" s="42">
        <f>RANK(T61,$T$18:$T$67,1)+COUNTIF(T61:$T$67,T61)-1</f>
        <v>36</v>
      </c>
      <c r="AI61" s="45">
        <v>44</v>
      </c>
      <c r="AJ61" s="45" t="str">
        <f t="shared" si="6"/>
        <v>#18</v>
      </c>
      <c r="AL61" s="40" t="str">
        <f t="shared" si="7"/>
        <v>BOTTOM LEFT</v>
      </c>
    </row>
    <row r="62" spans="2:38" x14ac:dyDescent="0.25">
      <c r="B62" s="45" t="s">
        <v>221</v>
      </c>
      <c r="C62" s="40">
        <v>6</v>
      </c>
      <c r="D62" s="40">
        <v>0</v>
      </c>
      <c r="F62" s="42" t="str">
        <f t="shared" si="1"/>
        <v>BOTTOM RIGHT</v>
      </c>
      <c r="H62" s="42" t="e">
        <f t="shared" si="2"/>
        <v>#N/A</v>
      </c>
      <c r="I62" s="42" t="e">
        <f t="shared" si="2"/>
        <v>#N/A</v>
      </c>
      <c r="K62" s="42">
        <f t="shared" si="3"/>
        <v>6</v>
      </c>
      <c r="L62" s="42">
        <f t="shared" si="3"/>
        <v>0</v>
      </c>
      <c r="N62" s="42" t="e">
        <f t="shared" si="4"/>
        <v>#N/A</v>
      </c>
      <c r="O62" s="42" t="e">
        <f t="shared" si="4"/>
        <v>#N/A</v>
      </c>
      <c r="Q62" s="42" t="e">
        <f t="shared" si="5"/>
        <v>#N/A</v>
      </c>
      <c r="R62" s="42" t="e">
        <f t="shared" si="5"/>
        <v>#N/A</v>
      </c>
      <c r="T62" s="42">
        <f t="shared" si="0"/>
        <v>194</v>
      </c>
      <c r="U62" s="42">
        <f>RANK(T62,$T$18:$T$67,1)+COUNTIF(T62:$T$67,T62)-1</f>
        <v>28</v>
      </c>
      <c r="AI62" s="45">
        <v>45</v>
      </c>
      <c r="AJ62" s="45" t="str">
        <f t="shared" si="6"/>
        <v>#15</v>
      </c>
      <c r="AL62" s="40" t="str">
        <f t="shared" si="7"/>
        <v>BOTTOM LEFT</v>
      </c>
    </row>
    <row r="63" spans="2:38" x14ac:dyDescent="0.25">
      <c r="B63" s="45" t="s">
        <v>222</v>
      </c>
      <c r="C63" s="40">
        <v>7</v>
      </c>
      <c r="D63" s="40">
        <v>0</v>
      </c>
      <c r="F63" s="42" t="str">
        <f t="shared" si="1"/>
        <v>BOTTOM RIGHT</v>
      </c>
      <c r="H63" s="42" t="e">
        <f t="shared" si="2"/>
        <v>#N/A</v>
      </c>
      <c r="I63" s="42" t="e">
        <f t="shared" si="2"/>
        <v>#N/A</v>
      </c>
      <c r="K63" s="42">
        <f t="shared" si="3"/>
        <v>7</v>
      </c>
      <c r="L63" s="42">
        <f t="shared" si="3"/>
        <v>0</v>
      </c>
      <c r="N63" s="42" t="e">
        <f t="shared" si="4"/>
        <v>#N/A</v>
      </c>
      <c r="O63" s="42" t="e">
        <f t="shared" si="4"/>
        <v>#N/A</v>
      </c>
      <c r="Q63" s="42" t="e">
        <f t="shared" si="5"/>
        <v>#N/A</v>
      </c>
      <c r="R63" s="42" t="e">
        <f t="shared" si="5"/>
        <v>#N/A</v>
      </c>
      <c r="T63" s="42">
        <f t="shared" si="0"/>
        <v>193</v>
      </c>
      <c r="U63" s="42">
        <f>RANK(T63,$T$18:$T$67,1)+COUNTIF(T63:$T$67,T63)-1</f>
        <v>22</v>
      </c>
      <c r="AI63" s="45">
        <v>46</v>
      </c>
      <c r="AJ63" s="45" t="str">
        <f t="shared" si="6"/>
        <v>#4</v>
      </c>
      <c r="AL63" s="40" t="str">
        <f t="shared" si="7"/>
        <v>BOTTOM LEFT</v>
      </c>
    </row>
    <row r="64" spans="2:38" x14ac:dyDescent="0.25">
      <c r="B64" s="45" t="s">
        <v>223</v>
      </c>
      <c r="C64" s="40">
        <v>7</v>
      </c>
      <c r="D64" s="40">
        <v>1</v>
      </c>
      <c r="F64" s="42" t="str">
        <f t="shared" si="1"/>
        <v>BOTTOM RIGHT</v>
      </c>
      <c r="H64" s="42" t="e">
        <f t="shared" si="2"/>
        <v>#N/A</v>
      </c>
      <c r="I64" s="42" t="e">
        <f t="shared" si="2"/>
        <v>#N/A</v>
      </c>
      <c r="K64" s="42">
        <f t="shared" si="3"/>
        <v>7</v>
      </c>
      <c r="L64" s="42">
        <f t="shared" si="3"/>
        <v>1</v>
      </c>
      <c r="N64" s="42" t="e">
        <f t="shared" si="4"/>
        <v>#N/A</v>
      </c>
      <c r="O64" s="42" t="e">
        <f t="shared" si="4"/>
        <v>#N/A</v>
      </c>
      <c r="Q64" s="42" t="e">
        <f t="shared" si="5"/>
        <v>#N/A</v>
      </c>
      <c r="R64" s="42" t="e">
        <f t="shared" si="5"/>
        <v>#N/A</v>
      </c>
      <c r="T64" s="42">
        <f t="shared" si="0"/>
        <v>192</v>
      </c>
      <c r="U64" s="42">
        <f>RANK(T64,$T$18:$T$67,1)+COUNTIF(T64:$T$67,T64)-1</f>
        <v>18</v>
      </c>
      <c r="AI64" s="45">
        <v>47</v>
      </c>
      <c r="AJ64" s="45" t="str">
        <f t="shared" si="6"/>
        <v>#1</v>
      </c>
      <c r="AL64" s="40" t="str">
        <f t="shared" si="7"/>
        <v>BOTTOM LEFT</v>
      </c>
    </row>
    <row r="65" spans="2:38" x14ac:dyDescent="0.25">
      <c r="B65" s="45" t="s">
        <v>224</v>
      </c>
      <c r="C65" s="40">
        <v>3</v>
      </c>
      <c r="D65" s="40">
        <v>1</v>
      </c>
      <c r="F65" s="42" t="str">
        <f t="shared" si="1"/>
        <v>BOTTOM LEFT</v>
      </c>
      <c r="H65" s="42" t="e">
        <f t="shared" si="2"/>
        <v>#N/A</v>
      </c>
      <c r="I65" s="42" t="e">
        <f t="shared" si="2"/>
        <v>#N/A</v>
      </c>
      <c r="K65" s="42" t="e">
        <f t="shared" si="3"/>
        <v>#N/A</v>
      </c>
      <c r="L65" s="42" t="e">
        <f t="shared" si="3"/>
        <v>#N/A</v>
      </c>
      <c r="N65" s="42" t="e">
        <f t="shared" si="4"/>
        <v>#N/A</v>
      </c>
      <c r="O65" s="42" t="e">
        <f t="shared" si="4"/>
        <v>#N/A</v>
      </c>
      <c r="Q65" s="42">
        <f t="shared" si="5"/>
        <v>3</v>
      </c>
      <c r="R65" s="42">
        <f t="shared" si="5"/>
        <v>1</v>
      </c>
      <c r="T65" s="42">
        <f t="shared" si="0"/>
        <v>396</v>
      </c>
      <c r="U65" s="42">
        <f>RANK(T65,$T$18:$T$67,1)+COUNTIF(T65:$T$67,T65)-1</f>
        <v>42</v>
      </c>
      <c r="AI65" s="45">
        <v>48</v>
      </c>
      <c r="AJ65" s="45" t="str">
        <f t="shared" si="6"/>
        <v>#13</v>
      </c>
      <c r="AL65" s="40" t="str">
        <f t="shared" si="7"/>
        <v>BOTTOM LEFT</v>
      </c>
    </row>
    <row r="66" spans="2:38" x14ac:dyDescent="0.25">
      <c r="B66" s="45" t="s">
        <v>225</v>
      </c>
      <c r="C66" s="40">
        <v>8</v>
      </c>
      <c r="D66" s="40">
        <v>2</v>
      </c>
      <c r="F66" s="42" t="str">
        <f t="shared" si="1"/>
        <v>BOTTOM RIGHT</v>
      </c>
      <c r="H66" s="42" t="e">
        <f t="shared" si="2"/>
        <v>#N/A</v>
      </c>
      <c r="I66" s="42" t="e">
        <f t="shared" si="2"/>
        <v>#N/A</v>
      </c>
      <c r="K66" s="42">
        <f t="shared" si="3"/>
        <v>8</v>
      </c>
      <c r="L66" s="42">
        <f t="shared" si="3"/>
        <v>2</v>
      </c>
      <c r="N66" s="42" t="e">
        <f t="shared" si="4"/>
        <v>#N/A</v>
      </c>
      <c r="O66" s="42" t="e">
        <f t="shared" si="4"/>
        <v>#N/A</v>
      </c>
      <c r="Q66" s="42" t="e">
        <f t="shared" si="5"/>
        <v>#N/A</v>
      </c>
      <c r="R66" s="42" t="e">
        <f t="shared" si="5"/>
        <v>#N/A</v>
      </c>
      <c r="T66" s="42">
        <f t="shared" si="0"/>
        <v>190</v>
      </c>
      <c r="U66" s="42">
        <f>RANK(T66,$T$18:$T$67,1)+COUNTIF(T66:$T$67,T66)-1</f>
        <v>14</v>
      </c>
      <c r="AI66" s="45">
        <v>49</v>
      </c>
      <c r="AJ66" s="45" t="str">
        <f t="shared" si="6"/>
        <v>#11</v>
      </c>
      <c r="AL66" s="40" t="str">
        <f t="shared" si="7"/>
        <v>BOTTOM LEFT</v>
      </c>
    </row>
    <row r="67" spans="2:38" x14ac:dyDescent="0.25">
      <c r="B67" s="45" t="s">
        <v>226</v>
      </c>
      <c r="C67" s="40">
        <v>4</v>
      </c>
      <c r="D67" s="40">
        <v>4</v>
      </c>
      <c r="F67" s="42" t="str">
        <f t="shared" si="1"/>
        <v>TOP RIGHT</v>
      </c>
      <c r="H67" s="42">
        <f t="shared" si="2"/>
        <v>4</v>
      </c>
      <c r="I67" s="42">
        <f t="shared" si="2"/>
        <v>4</v>
      </c>
      <c r="K67" s="42" t="e">
        <f t="shared" si="3"/>
        <v>#N/A</v>
      </c>
      <c r="L67" s="42" t="e">
        <f t="shared" si="3"/>
        <v>#N/A</v>
      </c>
      <c r="N67" s="42" t="e">
        <f t="shared" si="4"/>
        <v>#N/A</v>
      </c>
      <c r="O67" s="42" t="e">
        <f t="shared" si="4"/>
        <v>#N/A</v>
      </c>
      <c r="Q67" s="42" t="e">
        <f t="shared" si="5"/>
        <v>#N/A</v>
      </c>
      <c r="R67" s="42" t="e">
        <f t="shared" si="5"/>
        <v>#N/A</v>
      </c>
      <c r="T67" s="42">
        <f t="shared" si="0"/>
        <v>92</v>
      </c>
      <c r="U67" s="42">
        <f>RANK(T67,$T$18:$T$67,1)+COUNTIF(T67:$T$67,T67)-1</f>
        <v>11</v>
      </c>
      <c r="AI67" s="45">
        <v>50</v>
      </c>
      <c r="AJ67" s="45" t="str">
        <f t="shared" si="6"/>
        <v>#34</v>
      </c>
      <c r="AL67" s="40" t="str">
        <f t="shared" si="7"/>
        <v>BOTTOM LEFT</v>
      </c>
    </row>
    <row r="68" spans="2:38" x14ac:dyDescent="0.25"/>
    <row r="69" spans="2:38" x14ac:dyDescent="0.25"/>
    <row r="70" spans="2:38" x14ac:dyDescent="0.25"/>
    <row r="71" spans="2:38" x14ac:dyDescent="0.25"/>
    <row r="72" spans="2:38" x14ac:dyDescent="0.25"/>
    <row r="73" spans="2:38" x14ac:dyDescent="0.25"/>
    <row r="74" spans="2:38" x14ac:dyDescent="0.25"/>
    <row r="75" spans="2:38" x14ac:dyDescent="0.25"/>
    <row r="76" spans="2:38" x14ac:dyDescent="0.25"/>
    <row r="77" spans="2:38" x14ac:dyDescent="0.25"/>
    <row r="78" spans="2:38" x14ac:dyDescent="0.25"/>
  </sheetData>
  <mergeCells count="6">
    <mergeCell ref="AI2:AJ2"/>
    <mergeCell ref="H16:I16"/>
    <mergeCell ref="K16:L16"/>
    <mergeCell ref="N16:O16"/>
    <mergeCell ref="Q16:R16"/>
    <mergeCell ref="T16:U16"/>
  </mergeCells>
  <conditionalFormatting sqref="AI18:AI67">
    <cfRule type="expression" dxfId="7" priority="1">
      <formula>AL18=$AJ$3</formula>
    </cfRule>
    <cfRule type="expression" dxfId="6" priority="2">
      <formula>AL18=$AJ$4</formula>
    </cfRule>
    <cfRule type="expression" dxfId="5" priority="3">
      <formula>AL18=$AJ$5</formula>
    </cfRule>
    <cfRule type="expression" dxfId="4" priority="4">
      <formula>AL18=$AJ$6</formula>
    </cfRule>
  </conditionalFormatting>
  <conditionalFormatting sqref="AJ18:AJ67">
    <cfRule type="expression" dxfId="3" priority="5">
      <formula>AL18=$AJ$6</formula>
    </cfRule>
    <cfRule type="expression" dxfId="2" priority="6">
      <formula>AL18=$AJ$5</formula>
    </cfRule>
    <cfRule type="expression" dxfId="1" priority="7">
      <formula>AL18=$AJ$4</formula>
    </cfRule>
    <cfRule type="expression" dxfId="0" priority="8">
      <formula>AL18=$AJ$3</formula>
    </cfRule>
  </conditionalFormatting>
  <dataValidations count="1">
    <dataValidation type="list" allowBlank="1" showInputMessage="1" showErrorMessage="1" sqref="AJ3:AJ6" xr:uid="{00000000-0002-0000-0500-000000000000}">
      <formula1>"TOP RIGHT,BOTTOM RIGHT,TOP LEFT,BOTTOM LEFT"</formula1>
    </dataValidation>
  </dataValidations>
  <pageMargins left="0.7" right="0.7" top="0.75" bottom="0.75" header="0.3" footer="0.3"/>
  <pageSetup orientation="portrait" horizont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E7AF35272DDFA4A997B8FA2EF19DFDC" ma:contentTypeVersion="11" ma:contentTypeDescription="Crear nuevo documento." ma:contentTypeScope="" ma:versionID="0a19e5c4b984946e6099a06128a1b687">
  <xsd:schema xmlns:xsd="http://www.w3.org/2001/XMLSchema" xmlns:xs="http://www.w3.org/2001/XMLSchema" xmlns:p="http://schemas.microsoft.com/office/2006/metadata/properties" xmlns:ns2="4d0a47c7-79ec-419c-a021-1b70d105afd6" xmlns:ns3="241fd241-f011-4e8d-b203-41444e179ce7" targetNamespace="http://schemas.microsoft.com/office/2006/metadata/properties" ma:root="true" ma:fieldsID="4f3d346144e5e5beab229cced73db8ee" ns2:_="" ns3:_="">
    <xsd:import namespace="4d0a47c7-79ec-419c-a021-1b70d105afd6"/>
    <xsd:import namespace="241fd241-f011-4e8d-b203-41444e179c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0a47c7-79ec-419c-a021-1b70d105af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85698878-b331-436b-83d6-e56cb599652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41fd241-f011-4e8d-b203-41444e179c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62c65b2-be86-4493-9ed3-a044efaaedd3}" ma:internalName="TaxCatchAll" ma:showField="CatchAllData" ma:web="241fd241-f011-4e8d-b203-41444e179c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d0a47c7-79ec-419c-a021-1b70d105afd6">
      <Terms xmlns="http://schemas.microsoft.com/office/infopath/2007/PartnerControls"/>
    </lcf76f155ced4ddcb4097134ff3c332f>
    <TaxCatchAll xmlns="241fd241-f011-4e8d-b203-41444e179ce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1B2728-511A-4C1B-BB08-1ADAD2ECD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0a47c7-79ec-419c-a021-1b70d105afd6"/>
    <ds:schemaRef ds:uri="241fd241-f011-4e8d-b203-41444e179c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61E914-9768-46F2-84F8-1B6E955B7A0A}">
  <ds:schemaRefs>
    <ds:schemaRef ds:uri="http://purl.org/dc/dcmitype/"/>
    <ds:schemaRef ds:uri="http://schemas.openxmlformats.org/package/2006/metadata/core-properties"/>
    <ds:schemaRef ds:uri="http://purl.org/dc/elements/1.1/"/>
    <ds:schemaRef ds:uri="241fd241-f011-4e8d-b203-41444e179ce7"/>
    <ds:schemaRef ds:uri="http://schemas.microsoft.com/office/2006/documentManagement/types"/>
    <ds:schemaRef ds:uri="http://www.w3.org/XML/1998/namespace"/>
    <ds:schemaRef ds:uri="http://schemas.microsoft.com/office/infopath/2007/PartnerControls"/>
    <ds:schemaRef ds:uri="4d0a47c7-79ec-419c-a021-1b70d105afd6"/>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2F86BB94-77D6-4EE4-8D73-1D4D191775B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Colour Palettes</vt:lpstr>
      <vt:lpstr>Standards</vt:lpstr>
      <vt:lpstr>Evaluación de Riesgo Vinculador</vt:lpstr>
      <vt:lpstr>Pre-Assesment Privacidad</vt:lpstr>
      <vt:lpstr>HIDE - Calculations</vt:lpstr>
      <vt:lpstr> Escala de Evaluación de Riesgo</vt:lpstr>
      <vt:lpstr>HIDE - Data Validation</vt:lpstr>
      <vt:lpstr>Impact_Scale</vt:lpstr>
      <vt:lpstr>Probability_Scale</vt:lpstr>
      <vt:lpstr>Risk_Response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Amanda Dreyer</dc:creator>
  <cp:keywords/>
  <dc:description/>
  <cp:lastModifiedBy>HP</cp:lastModifiedBy>
  <cp:revision/>
  <dcterms:created xsi:type="dcterms:W3CDTF">2008-11-01T13:57:46Z</dcterms:created>
  <dcterms:modified xsi:type="dcterms:W3CDTF">2026-03-06T21:22:41Z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0x010100AE7AF35272DDFA4A997B8FA2EF19DFDC</vt:lpwstr>
  </property>
  <property fmtid="{D5CDD505-2E9C-101B-9397-08002B2CF9AE}" pid="3" name="display_urn">
    <vt:lpwstr>Amanda Dreyer</vt:lpwstr>
  </property>
  <property fmtid="{D5CDD505-2E9C-101B-9397-08002B2CF9AE}" pid="4" name="AuthorIds_UIVersion_6656">
    <vt:lpwstr>1780</vt:lpwstr>
  </property>
  <property fmtid="{D5CDD505-2E9C-101B-9397-08002B2CF9AE}" pid="5" name="MSIP_Label_5d479009-3f5f-4d91-975d-06b4d8cd71d9_Enabled">
    <vt:lpwstr>true</vt:lpwstr>
  </property>
  <property fmtid="{D5CDD505-2E9C-101B-9397-08002B2CF9AE}" pid="6" name="MSIP_Label_5d479009-3f5f-4d91-975d-06b4d8cd71d9_SetDate">
    <vt:lpwstr>2022-02-24T15:31:51Z</vt:lpwstr>
  </property>
  <property fmtid="{D5CDD505-2E9C-101B-9397-08002B2CF9AE}" pid="7" name="MSIP_Label_5d479009-3f5f-4d91-975d-06b4d8cd71d9_Method">
    <vt:lpwstr>Privileged</vt:lpwstr>
  </property>
  <property fmtid="{D5CDD505-2E9C-101B-9397-08002B2CF9AE}" pid="8" name="MSIP_Label_5d479009-3f5f-4d91-975d-06b4d8cd71d9_Name">
    <vt:lpwstr>5d479009-3f5f-4d91-975d-06b4d8cd71d9</vt:lpwstr>
  </property>
  <property fmtid="{D5CDD505-2E9C-101B-9397-08002B2CF9AE}" pid="9" name="MSIP_Label_5d479009-3f5f-4d91-975d-06b4d8cd71d9_SiteId">
    <vt:lpwstr>113d1920-a1e0-48cf-a70a-868cbb03f3f6</vt:lpwstr>
  </property>
  <property fmtid="{D5CDD505-2E9C-101B-9397-08002B2CF9AE}" pid="10" name="MSIP_Label_5d479009-3f5f-4d91-975d-06b4d8cd71d9_ActionId">
    <vt:lpwstr>fd8891e0-830f-4789-9246-6fc0a3ace909</vt:lpwstr>
  </property>
  <property fmtid="{D5CDD505-2E9C-101B-9397-08002B2CF9AE}" pid="11" name="MSIP_Label_5d479009-3f5f-4d91-975d-06b4d8cd71d9_ContentBits">
    <vt:lpwstr>0</vt:lpwstr>
  </property>
  <property fmtid="{D5CDD505-2E9C-101B-9397-08002B2CF9AE}" pid="12" name="xd_ProgID">
    <vt:lpwstr/>
  </property>
  <property fmtid="{D5CDD505-2E9C-101B-9397-08002B2CF9AE}" pid="13" name="MSIP_Label_7d24214e-5322-4789-8422-cbe411bc3a74_ActionId">
    <vt:lpwstr>7cfdcadd-73ce-4cfc-81d6-4a544d159fda</vt:lpwstr>
  </property>
  <property fmtid="{D5CDD505-2E9C-101B-9397-08002B2CF9AE}" pid="14" name="TemplateUrl">
    <vt:lpwstr/>
  </property>
  <property fmtid="{D5CDD505-2E9C-101B-9397-08002B2CF9AE}" pid="15" name="ComplianceAssetId">
    <vt:lpwstr/>
  </property>
  <property fmtid="{D5CDD505-2E9C-101B-9397-08002B2CF9AE}" pid="16" name="MSIP_Label_7d24214e-5322-4789-8422-cbe411bc3a74_Enabled">
    <vt:lpwstr>True</vt:lpwstr>
  </property>
  <property fmtid="{D5CDD505-2E9C-101B-9397-08002B2CF9AE}" pid="17" name="MSIP_Label_7d24214e-5322-4789-8422-cbe411bc3a74_ContentBits">
    <vt:lpwstr>0</vt:lpwstr>
  </property>
  <property fmtid="{D5CDD505-2E9C-101B-9397-08002B2CF9AE}" pid="18" name="IT Research Process">
    <vt:lpwstr>Research Process</vt:lpwstr>
  </property>
  <property fmtid="{D5CDD505-2E9C-101B-9397-08002B2CF9AE}" pid="19" name="_ExtendedDescription">
    <vt:lpwstr/>
  </property>
  <property fmtid="{D5CDD505-2E9C-101B-9397-08002B2CF9AE}" pid="20" name="TriggerFlowInfo">
    <vt:lpwstr/>
  </property>
  <property fmtid="{D5CDD505-2E9C-101B-9397-08002B2CF9AE}" pid="21" name="MSIP_Label_7d24214e-5322-4789-8422-cbe411bc3a74_Method">
    <vt:lpwstr>Privileged</vt:lpwstr>
  </property>
  <property fmtid="{D5CDD505-2E9C-101B-9397-08002B2CF9AE}" pid="22" name="MSIP_Label_7d24214e-5322-4789-8422-cbe411bc3a74_SiteId">
    <vt:lpwstr>113d1920-a1e0-48cf-a70a-868cbb03f3f6</vt:lpwstr>
  </property>
  <property fmtid="{D5CDD505-2E9C-101B-9397-08002B2CF9AE}" pid="23" name="MSIP_Label_7d24214e-5322-4789-8422-cbe411bc3a74_SetDate">
    <vt:lpwstr>2021-06-01T14:47:06Z</vt:lpwstr>
  </property>
  <property fmtid="{D5CDD505-2E9C-101B-9397-08002B2CF9AE}" pid="24" name="MSIP_Label_7d24214e-5322-4789-8422-cbe411bc3a74_Name">
    <vt:lpwstr>7d24214e-5322-4789-8422-cbe411bc3a74</vt:lpwstr>
  </property>
  <property fmtid="{D5CDD505-2E9C-101B-9397-08002B2CF9AE}" pid="25" name="xd_Signature">
    <vt:bool>false</vt:bool>
  </property>
  <property fmtid="{D5CDD505-2E9C-101B-9397-08002B2CF9AE}" pid="26" name="MediaServiceImageTags">
    <vt:lpwstr/>
  </property>
  <property fmtid="{D5CDD505-2E9C-101B-9397-08002B2CF9AE}" pid="27" name="Order">
    <vt:r8>62200</vt:r8>
  </property>
  <property fmtid="{D5CDD505-2E9C-101B-9397-08002B2CF9AE}" pid="28" name="Research Taxonomy">
    <vt:lpwstr/>
  </property>
  <property fmtid="{D5CDD505-2E9C-101B-9397-08002B2CF9AE}" pid="29" name="Research Title">
    <vt:lpwstr/>
  </property>
</Properties>
</file>